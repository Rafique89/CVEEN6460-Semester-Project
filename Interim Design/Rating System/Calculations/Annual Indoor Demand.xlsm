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E:\MSc Working\Spring 2017\Water Engineering\Project\50% Submission\Living Building Challenge\RWH\"/>
    </mc:Choice>
  </mc:AlternateContent>
  <workbookProtection workbookAlgorithmName="SHA-512" workbookHashValue="16Zkjl/fUWLIzwuqy9l7O/g8+CQHBvssi9IzGohpf/iNeyPykQ1dI1CvBI/Wlfs2oeAZG0NTmxsBQmqeQaYsXQ==" workbookSaltValue="+Q2oqn7L5n4VzXx1n5wk5g==" workbookSpinCount="100000" lockStructure="1"/>
  <bookViews>
    <workbookView xWindow="0" yWindow="0" windowWidth="20490" windowHeight="7305" activeTab="4"/>
  </bookViews>
  <sheets>
    <sheet name="Instructions" sheetId="4" r:id="rId1"/>
    <sheet name="Base Calc" sheetId="1" state="hidden" r:id="rId2"/>
    <sheet name="Group 1" sheetId="32" r:id="rId3"/>
    <sheet name="Summary D+C" sheetId="11" r:id="rId4"/>
    <sheet name="Summary O+M" sheetId="12" r:id="rId5"/>
  </sheets>
  <definedNames>
    <definedName name="_1">Instructions!$V$43:$V$46</definedName>
    <definedName name="_2">Instructions!$V$43:$V$46</definedName>
    <definedName name="_3">Instructions!$W$43:$W$45</definedName>
    <definedName name="Default">Instructions!$U$27:$Y$33</definedName>
    <definedName name="FLOWREF" localSheetId="2">'Group 1'!$AE$7:$AE$10</definedName>
    <definedName name="FLOWREF">'Base Calc'!$AE$7:$AE$10</definedName>
    <definedName name="FLUSHREF" localSheetId="2">'Group 1'!$AC$7:$AC$9</definedName>
    <definedName name="FLUSHREF">'Base Calc'!$AC$7:$AC$9</definedName>
    <definedName name="Nondefault">Instructions!$N$27:$R$33</definedName>
    <definedName name="Sheets">TRANSPOSE(GET.WORKBOOK(1))&amp;T(NOW())</definedName>
  </definedNames>
  <calcPr calcId="152511" fullPrecision="0" concurrentCalc="0"/>
  <extLst>
    <ext xmlns:mx="http://schemas.microsoft.com/office/mac/excel/2008/main" uri="{7523E5D3-25F3-A5E0-1632-64F254C22452}">
      <mx:ArchID Flags="2"/>
    </ext>
  </extLst>
</workbook>
</file>

<file path=xl/calcChain.xml><?xml version="1.0" encoding="utf-8"?>
<calcChain xmlns="http://schemas.openxmlformats.org/spreadsheetml/2006/main">
  <c r="D8" i="32" l="1"/>
  <c r="D9" i="32"/>
  <c r="G8" i="32"/>
  <c r="G9" i="32"/>
  <c r="H59" i="32"/>
  <c r="K59" i="32"/>
  <c r="L59" i="32"/>
  <c r="Q59" i="32"/>
  <c r="R59" i="32"/>
  <c r="M59" i="32"/>
  <c r="N59" i="32"/>
  <c r="O59" i="32"/>
  <c r="P59" i="32"/>
  <c r="I59" i="32"/>
  <c r="S59" i="32"/>
  <c r="T59" i="32"/>
  <c r="U59" i="32"/>
  <c r="V59" i="32"/>
  <c r="X59" i="32"/>
  <c r="H60" i="32"/>
  <c r="K60" i="32"/>
  <c r="L60" i="32"/>
  <c r="Q47" i="32"/>
  <c r="Q60" i="32"/>
  <c r="R60" i="32"/>
  <c r="M60" i="32"/>
  <c r="N60" i="32"/>
  <c r="O60" i="32"/>
  <c r="P60" i="32"/>
  <c r="I60" i="32"/>
  <c r="S60" i="32"/>
  <c r="T60" i="32"/>
  <c r="U60" i="32"/>
  <c r="V60" i="32"/>
  <c r="X60" i="32"/>
  <c r="H61" i="32"/>
  <c r="K61" i="32"/>
  <c r="L61" i="32"/>
  <c r="Q48" i="32"/>
  <c r="Q61" i="32"/>
  <c r="R61" i="32"/>
  <c r="M61" i="32"/>
  <c r="N61" i="32"/>
  <c r="O61" i="32"/>
  <c r="P61" i="32"/>
  <c r="I61" i="32"/>
  <c r="S61" i="32"/>
  <c r="T61" i="32"/>
  <c r="U61" i="32"/>
  <c r="V61" i="32"/>
  <c r="X61" i="32"/>
  <c r="H62" i="32"/>
  <c r="K62" i="32"/>
  <c r="L62" i="32"/>
  <c r="Q62" i="32"/>
  <c r="R62" i="32"/>
  <c r="M62" i="32"/>
  <c r="N62" i="32"/>
  <c r="O62" i="32"/>
  <c r="P62" i="32"/>
  <c r="I62" i="32"/>
  <c r="S62" i="32"/>
  <c r="T62" i="32"/>
  <c r="U62" i="32"/>
  <c r="V62" i="32"/>
  <c r="X62" i="32"/>
  <c r="H63" i="32"/>
  <c r="K63" i="32"/>
  <c r="L63" i="32"/>
  <c r="Q63" i="32"/>
  <c r="R63" i="32"/>
  <c r="M63" i="32"/>
  <c r="N63" i="32"/>
  <c r="O63" i="32"/>
  <c r="P63" i="32"/>
  <c r="I63" i="32"/>
  <c r="S63" i="32"/>
  <c r="T63" i="32"/>
  <c r="U63" i="32"/>
  <c r="V63" i="32"/>
  <c r="X63" i="32"/>
  <c r="I64" i="32"/>
  <c r="B64" i="32"/>
  <c r="C63" i="32"/>
  <c r="C62" i="32"/>
  <c r="C61" i="32"/>
  <c r="A61" i="32"/>
  <c r="C60" i="32"/>
  <c r="A60" i="32"/>
  <c r="C59" i="32"/>
  <c r="A59" i="32"/>
  <c r="V58" i="32"/>
  <c r="T58" i="32"/>
  <c r="R58" i="32"/>
  <c r="P58" i="32"/>
  <c r="N58" i="32"/>
  <c r="L58" i="32"/>
  <c r="X57" i="32"/>
  <c r="U57" i="32"/>
  <c r="D57" i="32"/>
  <c r="F53" i="32"/>
  <c r="F52" i="32"/>
  <c r="D52" i="32"/>
  <c r="R45" i="32"/>
  <c r="L45" i="32"/>
  <c r="X45" i="32"/>
  <c r="X46" i="32"/>
  <c r="R47" i="32"/>
  <c r="L47" i="32"/>
  <c r="X47" i="32"/>
  <c r="R48" i="32"/>
  <c r="L48" i="32"/>
  <c r="X48" i="32"/>
  <c r="I49" i="32"/>
  <c r="B49" i="32"/>
  <c r="F48" i="32"/>
  <c r="G48" i="32"/>
  <c r="V48" i="32"/>
  <c r="H48" i="32"/>
  <c r="S48" i="32"/>
  <c r="T48" i="32"/>
  <c r="O48" i="32"/>
  <c r="P48" i="32"/>
  <c r="M48" i="32"/>
  <c r="N48" i="32"/>
  <c r="K48" i="32"/>
  <c r="C48" i="32"/>
  <c r="F47" i="32"/>
  <c r="G47" i="32"/>
  <c r="V47" i="32"/>
  <c r="H47" i="32"/>
  <c r="S47" i="32"/>
  <c r="T47" i="32"/>
  <c r="O47" i="32"/>
  <c r="P47" i="32"/>
  <c r="M47" i="32"/>
  <c r="N47" i="32"/>
  <c r="K47" i="32"/>
  <c r="C47" i="32"/>
  <c r="F46" i="32"/>
  <c r="G46" i="32"/>
  <c r="V46" i="32"/>
  <c r="H46" i="32"/>
  <c r="S46" i="32"/>
  <c r="T46" i="32"/>
  <c r="Q46" i="32"/>
  <c r="R46" i="32"/>
  <c r="O46" i="32"/>
  <c r="P46" i="32"/>
  <c r="M46" i="32"/>
  <c r="N46" i="32"/>
  <c r="K46" i="32"/>
  <c r="L46" i="32"/>
  <c r="C46" i="32"/>
  <c r="F45" i="32"/>
  <c r="G45" i="32"/>
  <c r="V45" i="32"/>
  <c r="H45" i="32"/>
  <c r="S45" i="32"/>
  <c r="T45" i="32"/>
  <c r="Q45" i="32"/>
  <c r="O45" i="32"/>
  <c r="P45" i="32"/>
  <c r="M45" i="32"/>
  <c r="N45" i="32"/>
  <c r="K45" i="32"/>
  <c r="C45" i="32"/>
  <c r="V44" i="32"/>
  <c r="T44" i="32"/>
  <c r="R44" i="32"/>
  <c r="P44" i="32"/>
  <c r="N44" i="32"/>
  <c r="L44" i="32"/>
  <c r="X43" i="32"/>
  <c r="U43" i="32"/>
  <c r="I43" i="32"/>
  <c r="F43" i="32"/>
  <c r="E32" i="32"/>
  <c r="K32" i="32"/>
  <c r="L32" i="32"/>
  <c r="Q32" i="32"/>
  <c r="R32" i="32"/>
  <c r="M32" i="32"/>
  <c r="E9" i="32"/>
  <c r="N32" i="32"/>
  <c r="O32" i="32"/>
  <c r="F9" i="32"/>
  <c r="P32" i="32"/>
  <c r="S32" i="32"/>
  <c r="H9" i="32"/>
  <c r="T32" i="32"/>
  <c r="U32" i="32"/>
  <c r="I9" i="32"/>
  <c r="V32" i="32"/>
  <c r="X32" i="32"/>
  <c r="E33" i="32"/>
  <c r="K33" i="32"/>
  <c r="L33" i="32"/>
  <c r="Q33" i="32"/>
  <c r="R33" i="32"/>
  <c r="M33" i="32"/>
  <c r="N33" i="32"/>
  <c r="O33" i="32"/>
  <c r="P33" i="32"/>
  <c r="S33" i="32"/>
  <c r="T33" i="32"/>
  <c r="U33" i="32"/>
  <c r="V33" i="32"/>
  <c r="X33" i="32"/>
  <c r="E34" i="32"/>
  <c r="K34" i="32"/>
  <c r="L34" i="32"/>
  <c r="Q34" i="32"/>
  <c r="R34" i="32"/>
  <c r="M34" i="32"/>
  <c r="N34" i="32"/>
  <c r="O34" i="32"/>
  <c r="P34" i="32"/>
  <c r="S34" i="32"/>
  <c r="T34" i="32"/>
  <c r="U34" i="32"/>
  <c r="V34" i="32"/>
  <c r="X34" i="32"/>
  <c r="E35" i="32"/>
  <c r="K35" i="32"/>
  <c r="L35" i="32"/>
  <c r="Q35" i="32"/>
  <c r="R35" i="32"/>
  <c r="M35" i="32"/>
  <c r="N35" i="32"/>
  <c r="O35" i="32"/>
  <c r="P35" i="32"/>
  <c r="S35" i="32"/>
  <c r="T35" i="32"/>
  <c r="U35" i="32"/>
  <c r="V35" i="32"/>
  <c r="X35" i="32"/>
  <c r="E36" i="32"/>
  <c r="K36" i="32"/>
  <c r="L36" i="32"/>
  <c r="Q36" i="32"/>
  <c r="R36" i="32"/>
  <c r="M36" i="32"/>
  <c r="N36" i="32"/>
  <c r="O36" i="32"/>
  <c r="P36" i="32"/>
  <c r="S36" i="32"/>
  <c r="T36" i="32"/>
  <c r="U36" i="32"/>
  <c r="V36" i="32"/>
  <c r="X36" i="32"/>
  <c r="I37" i="32"/>
  <c r="B37" i="32"/>
  <c r="A34" i="32"/>
  <c r="A33" i="32"/>
  <c r="A32" i="32"/>
  <c r="V31" i="32"/>
  <c r="T31" i="32"/>
  <c r="R31" i="32"/>
  <c r="P31" i="32"/>
  <c r="N31" i="32"/>
  <c r="L31" i="32"/>
  <c r="X30" i="32"/>
  <c r="U30" i="32"/>
  <c r="H30" i="32"/>
  <c r="F26" i="32"/>
  <c r="F25" i="32"/>
  <c r="E25" i="32"/>
  <c r="D25" i="32"/>
  <c r="R19" i="32"/>
  <c r="L19" i="32"/>
  <c r="X19" i="32"/>
  <c r="X20" i="32"/>
  <c r="R21" i="32"/>
  <c r="L21" i="32"/>
  <c r="X21" i="32"/>
  <c r="I22" i="32"/>
  <c r="B22" i="32"/>
  <c r="H21" i="32"/>
  <c r="I8" i="32"/>
  <c r="V21" i="32"/>
  <c r="H8" i="32"/>
  <c r="S21" i="32"/>
  <c r="T21" i="32"/>
  <c r="Q21" i="32"/>
  <c r="F8" i="32"/>
  <c r="O21" i="32"/>
  <c r="P21" i="32"/>
  <c r="E8" i="32"/>
  <c r="M21" i="32"/>
  <c r="N21" i="32"/>
  <c r="K21" i="32"/>
  <c r="G21" i="32"/>
  <c r="C21" i="32"/>
  <c r="H20" i="32"/>
  <c r="V20" i="32"/>
  <c r="S20" i="32"/>
  <c r="T20" i="32"/>
  <c r="Q20" i="32"/>
  <c r="R20" i="32"/>
  <c r="O20" i="32"/>
  <c r="P20" i="32"/>
  <c r="M20" i="32"/>
  <c r="N20" i="32"/>
  <c r="K20" i="32"/>
  <c r="L20" i="32"/>
  <c r="G20" i="32"/>
  <c r="C20" i="32"/>
  <c r="H19" i="32"/>
  <c r="V19" i="32"/>
  <c r="S19" i="32"/>
  <c r="T19" i="32"/>
  <c r="Q19" i="32"/>
  <c r="O19" i="32"/>
  <c r="P19" i="32"/>
  <c r="M19" i="32"/>
  <c r="N19" i="32"/>
  <c r="K19" i="32"/>
  <c r="G19" i="32"/>
  <c r="C19" i="32"/>
  <c r="V18" i="32"/>
  <c r="T18" i="32"/>
  <c r="R18" i="32"/>
  <c r="P18" i="32"/>
  <c r="N18" i="32"/>
  <c r="L18" i="32"/>
  <c r="X17" i="32"/>
  <c r="U17" i="32"/>
  <c r="H17" i="32"/>
  <c r="B14" i="32"/>
  <c r="AD10" i="32"/>
  <c r="AA10" i="32"/>
  <c r="AD7" i="32"/>
  <c r="AD8" i="32"/>
  <c r="AD9" i="32"/>
  <c r="AE9" i="32" a="1"/>
  <c r="AE9" i="32"/>
  <c r="AB9" i="32"/>
  <c r="AA9" i="32"/>
  <c r="AE8" i="32" a="1"/>
  <c r="AE8" i="32"/>
  <c r="AB7" i="32"/>
  <c r="AB8" i="32"/>
  <c r="AC8" i="32" a="1"/>
  <c r="AC8" i="32"/>
  <c r="AA8" i="32"/>
  <c r="AE7" i="32" a="1"/>
  <c r="AE7" i="32"/>
  <c r="AC7" i="32" a="1"/>
  <c r="AC7" i="32"/>
  <c r="AA7" i="32"/>
  <c r="B2" i="32"/>
  <c r="A60" i="1"/>
  <c r="A61" i="1"/>
  <c r="A59" i="1"/>
  <c r="U40" i="4"/>
  <c r="O21" i="1"/>
  <c r="O19" i="1"/>
  <c r="M21" i="1"/>
  <c r="M19" i="1"/>
  <c r="S21" i="1"/>
  <c r="S19" i="1"/>
  <c r="Q21" i="1"/>
  <c r="Q19" i="1"/>
  <c r="K21" i="1"/>
  <c r="K19" i="1"/>
  <c r="A33" i="1"/>
  <c r="A34" i="1"/>
  <c r="A32" i="1"/>
  <c r="K59" i="1"/>
  <c r="K60" i="1"/>
  <c r="K61" i="1"/>
  <c r="K62" i="1"/>
  <c r="K63" i="1"/>
  <c r="U60" i="1"/>
  <c r="U61" i="1"/>
  <c r="U62" i="1"/>
  <c r="U63" i="1"/>
  <c r="S60" i="1"/>
  <c r="S61" i="1"/>
  <c r="S62" i="1"/>
  <c r="S63" i="1"/>
  <c r="Q60" i="1"/>
  <c r="Q61" i="1"/>
  <c r="Q62" i="1"/>
  <c r="Q63" i="1"/>
  <c r="O60" i="1"/>
  <c r="O61" i="1"/>
  <c r="O62" i="1"/>
  <c r="O63" i="1"/>
  <c r="M60" i="1"/>
  <c r="M61" i="1"/>
  <c r="M62" i="1"/>
  <c r="M63" i="1"/>
  <c r="U59" i="1"/>
  <c r="S59" i="1"/>
  <c r="Q59" i="1"/>
  <c r="O59" i="1"/>
  <c r="M59" i="1"/>
  <c r="S20" i="1"/>
  <c r="F53" i="1"/>
  <c r="U57" i="1"/>
  <c r="Q20" i="1"/>
  <c r="O20" i="1"/>
  <c r="M20" i="1"/>
  <c r="K20" i="1"/>
  <c r="G21" i="1"/>
  <c r="G20" i="1"/>
  <c r="G19" i="1"/>
  <c r="C21" i="1"/>
  <c r="C20" i="1"/>
  <c r="C19" i="1"/>
  <c r="C48" i="1"/>
  <c r="C47" i="1"/>
  <c r="C46" i="1"/>
  <c r="C45" i="1"/>
  <c r="U43" i="1"/>
  <c r="S48" i="1"/>
  <c r="S47" i="1"/>
  <c r="S46" i="1"/>
  <c r="S45" i="1"/>
  <c r="Q48" i="1"/>
  <c r="Q47" i="1"/>
  <c r="Q46" i="1"/>
  <c r="Q45" i="1"/>
  <c r="O48" i="1"/>
  <c r="O47" i="1"/>
  <c r="O46" i="1"/>
  <c r="O45" i="1"/>
  <c r="M48" i="1"/>
  <c r="M47" i="1"/>
  <c r="M46" i="1"/>
  <c r="M45" i="1"/>
  <c r="K48" i="1"/>
  <c r="K47" i="1"/>
  <c r="K46" i="1"/>
  <c r="K45" i="1"/>
  <c r="H48" i="1"/>
  <c r="H47" i="1"/>
  <c r="H46" i="1"/>
  <c r="H45" i="1"/>
  <c r="G48" i="1"/>
  <c r="G47" i="1"/>
  <c r="G46" i="1"/>
  <c r="G45" i="1"/>
  <c r="U33" i="1"/>
  <c r="U34" i="1"/>
  <c r="U35" i="1"/>
  <c r="U36" i="1"/>
  <c r="U32" i="1"/>
  <c r="S33" i="1"/>
  <c r="S34" i="1"/>
  <c r="S35" i="1"/>
  <c r="S36" i="1"/>
  <c r="S32" i="1"/>
  <c r="Q33" i="1"/>
  <c r="Q34" i="1"/>
  <c r="Q35" i="1"/>
  <c r="Q36" i="1"/>
  <c r="Q32" i="1"/>
  <c r="O33" i="1"/>
  <c r="O34" i="1"/>
  <c r="O35" i="1"/>
  <c r="O36" i="1"/>
  <c r="O32" i="1"/>
  <c r="M33" i="1"/>
  <c r="M34" i="1"/>
  <c r="M35" i="1"/>
  <c r="M36" i="1"/>
  <c r="M32" i="1"/>
  <c r="K33" i="1"/>
  <c r="K34" i="1"/>
  <c r="K35" i="1"/>
  <c r="K36" i="1"/>
  <c r="K32" i="1"/>
  <c r="U30" i="1"/>
  <c r="U17" i="1"/>
  <c r="T58" i="1"/>
  <c r="L58" i="1"/>
  <c r="R44" i="1"/>
  <c r="R58" i="1"/>
  <c r="X43" i="1"/>
  <c r="P44" i="1"/>
  <c r="X57" i="1"/>
  <c r="V58" i="1"/>
  <c r="T44" i="1"/>
  <c r="P58" i="1"/>
  <c r="L44" i="1"/>
  <c r="V44" i="1"/>
  <c r="N44" i="1"/>
  <c r="N58" i="1"/>
  <c r="D22" i="12"/>
  <c r="E25" i="1"/>
  <c r="D52" i="1"/>
  <c r="D25" i="1"/>
  <c r="B64" i="1"/>
  <c r="H21" i="1"/>
  <c r="H20" i="1"/>
  <c r="B49" i="1"/>
  <c r="F25" i="1"/>
  <c r="F52" i="1"/>
  <c r="H19" i="1"/>
  <c r="F47" i="1"/>
  <c r="F46" i="1"/>
  <c r="F45" i="1"/>
  <c r="F48" i="1"/>
  <c r="B37" i="1"/>
  <c r="T31" i="1"/>
  <c r="V18" i="1"/>
  <c r="N31" i="1"/>
  <c r="X30" i="1"/>
  <c r="R31" i="1"/>
  <c r="H30" i="1"/>
  <c r="T18" i="1"/>
  <c r="L18" i="1"/>
  <c r="V31" i="1"/>
  <c r="P31" i="1"/>
  <c r="B22" i="1"/>
  <c r="R18" i="1"/>
  <c r="F43" i="1"/>
  <c r="N18" i="1"/>
  <c r="L31" i="1"/>
  <c r="X17" i="1"/>
  <c r="P18" i="1"/>
  <c r="H17" i="1"/>
  <c r="H7" i="12"/>
  <c r="I9" i="1"/>
  <c r="I8" i="1"/>
  <c r="H9" i="1"/>
  <c r="H8" i="1"/>
  <c r="F9" i="1"/>
  <c r="F8" i="1"/>
  <c r="E9" i="1"/>
  <c r="E8" i="1"/>
  <c r="G9" i="1"/>
  <c r="G8" i="1"/>
  <c r="D9" i="1"/>
  <c r="D8" i="1"/>
  <c r="D13" i="11"/>
  <c r="D20" i="12"/>
  <c r="D19" i="12"/>
  <c r="D14" i="11"/>
  <c r="H60" i="1"/>
  <c r="I60" i="1"/>
  <c r="H61" i="1"/>
  <c r="I61" i="1"/>
  <c r="H62" i="1"/>
  <c r="I62" i="1"/>
  <c r="H63" i="1"/>
  <c r="I63" i="1"/>
  <c r="B2" i="1"/>
  <c r="M21" i="12"/>
  <c r="J15" i="12"/>
  <c r="F15" i="12"/>
  <c r="J9" i="11"/>
  <c r="F9" i="11"/>
  <c r="D57" i="1"/>
  <c r="F26" i="1"/>
  <c r="AD8" i="1"/>
  <c r="AD9" i="1"/>
  <c r="AD10" i="1"/>
  <c r="C60" i="1"/>
  <c r="C61" i="1"/>
  <c r="C62" i="1"/>
  <c r="C63" i="1"/>
  <c r="C59" i="1"/>
  <c r="E33" i="1"/>
  <c r="E34" i="1"/>
  <c r="E35" i="1"/>
  <c r="E36" i="1"/>
  <c r="E32" i="1"/>
  <c r="B14" i="1"/>
  <c r="AD7" i="1"/>
  <c r="AB9" i="1"/>
  <c r="AB8" i="1"/>
  <c r="AB7" i="1"/>
  <c r="I43" i="1"/>
  <c r="L19" i="1"/>
  <c r="V21" i="1"/>
  <c r="V19" i="1"/>
  <c r="P19" i="1"/>
  <c r="R61" i="1"/>
  <c r="P61" i="1"/>
  <c r="R19" i="1"/>
  <c r="N19" i="1"/>
  <c r="R21" i="1"/>
  <c r="V61" i="1"/>
  <c r="L61" i="1"/>
  <c r="P63" i="1"/>
  <c r="V63" i="1"/>
  <c r="T19" i="1"/>
  <c r="T62" i="1"/>
  <c r="T60" i="1"/>
  <c r="I59" i="1"/>
  <c r="H59" i="1"/>
  <c r="R32" i="1"/>
  <c r="R33" i="1"/>
  <c r="V34" i="1"/>
  <c r="N21" i="1"/>
  <c r="P20" i="1"/>
  <c r="T21" i="1"/>
  <c r="L21" i="1"/>
  <c r="T20" i="1"/>
  <c r="L36" i="1"/>
  <c r="N36" i="1"/>
  <c r="V36" i="1"/>
  <c r="L63" i="1"/>
  <c r="L32" i="1"/>
  <c r="N61" i="1"/>
  <c r="P34" i="1"/>
  <c r="R34" i="1"/>
  <c r="N34" i="1"/>
  <c r="T34" i="1"/>
  <c r="P35" i="1"/>
  <c r="P62" i="1"/>
  <c r="R60" i="1"/>
  <c r="V60" i="1"/>
  <c r="P60" i="1"/>
  <c r="V62" i="1"/>
  <c r="L60" i="1"/>
  <c r="N62" i="1"/>
  <c r="L62" i="1"/>
  <c r="T63" i="1"/>
  <c r="N60" i="1"/>
  <c r="V33" i="1"/>
  <c r="N32" i="1"/>
  <c r="P32" i="1"/>
  <c r="R62" i="1"/>
  <c r="T33" i="1"/>
  <c r="T35" i="1"/>
  <c r="P21" i="1"/>
  <c r="T36" i="1"/>
  <c r="R36" i="1"/>
  <c r="P36" i="1"/>
  <c r="V32" i="1"/>
  <c r="T32" i="1"/>
  <c r="L33" i="1"/>
  <c r="N33" i="1"/>
  <c r="P33" i="1"/>
  <c r="R20" i="1"/>
  <c r="L20" i="1"/>
  <c r="V20" i="1"/>
  <c r="N20" i="1"/>
  <c r="T61" i="1"/>
  <c r="R63" i="1"/>
  <c r="N63" i="1"/>
  <c r="L34" i="1"/>
  <c r="L35" i="1"/>
  <c r="N35" i="1"/>
  <c r="V35" i="1"/>
  <c r="R35" i="1"/>
  <c r="X63" i="1"/>
  <c r="R46" i="1"/>
  <c r="P46" i="1"/>
  <c r="L45" i="1"/>
  <c r="T46" i="1"/>
  <c r="V46" i="1"/>
  <c r="V45" i="1"/>
  <c r="N46" i="1"/>
  <c r="L46" i="1"/>
  <c r="P45" i="1"/>
  <c r="T59" i="1"/>
  <c r="T45" i="1"/>
  <c r="N45" i="1"/>
  <c r="X46" i="1"/>
  <c r="N59" i="1"/>
  <c r="V59" i="1"/>
  <c r="R59" i="1"/>
  <c r="P59" i="1"/>
  <c r="R45" i="1"/>
  <c r="L59" i="1"/>
  <c r="X19" i="1"/>
  <c r="X20" i="1"/>
  <c r="X21" i="1"/>
  <c r="X61" i="1"/>
  <c r="X34" i="1"/>
  <c r="X62" i="1"/>
  <c r="X33" i="1"/>
  <c r="X60" i="1"/>
  <c r="X32" i="1"/>
  <c r="X36" i="1"/>
  <c r="N48" i="1"/>
  <c r="P48" i="1"/>
  <c r="R48" i="1"/>
  <c r="V48" i="1"/>
  <c r="T48" i="1"/>
  <c r="L48" i="1"/>
  <c r="X35" i="1"/>
  <c r="L47" i="1"/>
  <c r="N47" i="1"/>
  <c r="T47" i="1"/>
  <c r="V47" i="1"/>
  <c r="R47" i="1"/>
  <c r="P47" i="1"/>
  <c r="X45" i="1"/>
  <c r="I37" i="1"/>
  <c r="X48" i="1"/>
  <c r="X59" i="1"/>
  <c r="X47" i="1"/>
  <c r="I22" i="1"/>
  <c r="AA7" i="1"/>
  <c r="I64" i="1"/>
  <c r="AA10" i="1"/>
  <c r="I49" i="1"/>
  <c r="AA8" i="1"/>
  <c r="AA9" i="1"/>
  <c r="AC7" i="1" a="1"/>
  <c r="AE9" i="1" a="1"/>
  <c r="G28" i="12"/>
  <c r="AE8" i="1" a="1"/>
  <c r="D11" i="11"/>
  <c r="G20" i="11"/>
  <c r="AE7" i="1" a="1"/>
  <c r="D17" i="12"/>
  <c r="AC9" i="1" a="1"/>
  <c r="AC8" i="1" a="1"/>
  <c r="AE10" i="1" a="1"/>
  <c r="AE8" i="1"/>
  <c r="AE7" i="1"/>
  <c r="AC7" i="1"/>
  <c r="AE10" i="1"/>
  <c r="C11" i="11"/>
  <c r="AC9" i="1"/>
  <c r="AC8" i="1"/>
  <c r="C17" i="12"/>
  <c r="AE9" i="1"/>
  <c r="F17" i="12"/>
  <c r="G11" i="11"/>
  <c r="F11" i="11"/>
  <c r="G17" i="12"/>
  <c r="J17" i="12"/>
  <c r="J11" i="11"/>
  <c r="K11" i="11"/>
  <c r="K17" i="12"/>
  <c r="L17" i="12"/>
  <c r="M17" i="12"/>
  <c r="M20" i="12"/>
  <c r="H11" i="11"/>
  <c r="I11" i="11"/>
  <c r="M13" i="11"/>
  <c r="L11" i="11"/>
  <c r="M11" i="11"/>
  <c r="M14" i="11"/>
  <c r="M15" i="11"/>
  <c r="H17" i="12"/>
  <c r="I17" i="12"/>
  <c r="M19" i="12"/>
  <c r="M22" i="12"/>
  <c r="M23" i="12"/>
  <c r="AC9" i="32" a="1"/>
  <c r="AC9" i="32"/>
  <c r="AE10" i="32" a="1"/>
  <c r="AE10" i="32"/>
</calcChain>
</file>

<file path=xl/comments1.xml><?xml version="1.0" encoding="utf-8"?>
<comments xmlns="http://schemas.openxmlformats.org/spreadsheetml/2006/main">
  <authors>
    <author>USGBC</author>
  </authors>
  <commentList>
    <comment ref="X17" authorId="0" shapeId="0">
      <text>
        <r>
          <rPr>
            <sz val="10"/>
            <color indexed="81"/>
            <rFont val="Arial"/>
            <family val="2"/>
          </rPr>
          <t>Calculated only if fixture is included in the project.</t>
        </r>
      </text>
    </comment>
    <comment ref="X43" authorId="0" shapeId="0">
      <text>
        <r>
          <rPr>
            <sz val="10"/>
            <color indexed="81"/>
            <rFont val="Arial"/>
            <family val="2"/>
          </rPr>
          <t>Calculated only if fixture is included in the project.</t>
        </r>
      </text>
    </comment>
  </commentList>
</comments>
</file>

<file path=xl/comments2.xml><?xml version="1.0" encoding="utf-8"?>
<comments xmlns="http://schemas.openxmlformats.org/spreadsheetml/2006/main">
  <authors>
    <author>USGBC</author>
  </authors>
  <commentList>
    <comment ref="I10" authorId="0" shapeId="0">
      <text>
        <r>
          <rPr>
            <sz val="10"/>
            <color indexed="81"/>
            <rFont val="Arial"/>
            <family val="2"/>
          </rPr>
          <t>Adjusted for percentage occupants in group</t>
        </r>
      </text>
    </comment>
    <comment ref="M10" authorId="0" shapeId="0">
      <text>
        <r>
          <rPr>
            <sz val="10"/>
            <color indexed="81"/>
            <rFont val="Arial"/>
            <family val="2"/>
          </rPr>
          <t>Adjusted for percentage occupants in group</t>
        </r>
      </text>
    </comment>
  </commentList>
</comments>
</file>

<file path=xl/comments3.xml><?xml version="1.0" encoding="utf-8"?>
<comments xmlns="http://schemas.openxmlformats.org/spreadsheetml/2006/main">
  <authors>
    <author>USGBC</author>
  </authors>
  <commentList>
    <comment ref="I16" authorId="0" shapeId="0">
      <text>
        <r>
          <rPr>
            <sz val="10"/>
            <color indexed="81"/>
            <rFont val="Arial"/>
            <family val="2"/>
          </rPr>
          <t>Adjusted for percentage occupants in group</t>
        </r>
      </text>
    </comment>
    <comment ref="M16" authorId="0" shapeId="0">
      <text>
        <r>
          <rPr>
            <sz val="10"/>
            <color indexed="81"/>
            <rFont val="Arial"/>
            <family val="2"/>
          </rPr>
          <t>Adjusted for percentage occupants in group</t>
        </r>
      </text>
    </comment>
  </commentList>
</comments>
</file>

<file path=xl/sharedStrings.xml><?xml version="1.0" encoding="utf-8"?>
<sst xmlns="http://schemas.openxmlformats.org/spreadsheetml/2006/main" count="373" uniqueCount="129">
  <si>
    <t>Total</t>
  </si>
  <si>
    <t>Male</t>
  </si>
  <si>
    <t>Female</t>
  </si>
  <si>
    <t>Residential</t>
  </si>
  <si>
    <t>gpf</t>
  </si>
  <si>
    <t>lpf</t>
  </si>
  <si>
    <t>Public lavatory (restroom) faucet</t>
  </si>
  <si>
    <t>gpm</t>
  </si>
  <si>
    <t>lpm</t>
  </si>
  <si>
    <t>Kitchen faucet</t>
  </si>
  <si>
    <t>Fixture Type</t>
  </si>
  <si>
    <t>Fixture Reference</t>
  </si>
  <si>
    <t>Gender</t>
  </si>
  <si>
    <t>Urinal</t>
  </si>
  <si>
    <t>Showerhead</t>
  </si>
  <si>
    <t>Baseline</t>
  </si>
  <si>
    <t>Design Case Fixture Type</t>
  </si>
  <si>
    <r>
      <rPr>
        <b/>
        <sz val="10"/>
        <rFont val="Arial"/>
        <family val="2"/>
      </rPr>
      <t>Step 1.</t>
    </r>
    <r>
      <rPr>
        <sz val="10"/>
        <rFont val="Arial"/>
        <family val="2"/>
      </rPr>
      <t xml:space="preserve"> </t>
    </r>
  </si>
  <si>
    <t>Table 1. Project Information</t>
  </si>
  <si>
    <t>Retail Customers</t>
  </si>
  <si>
    <t>Table 3. Flush Fixtures Design Case</t>
  </si>
  <si>
    <t>Fixture Information</t>
  </si>
  <si>
    <t>Fixture 
Model</t>
  </si>
  <si>
    <t>Table 5. Flow Fixtures Design Case</t>
  </si>
  <si>
    <t xml:space="preserve">Annual days of operation </t>
  </si>
  <si>
    <t>Table 2. Flush Fixtures Baseline Case</t>
  </si>
  <si>
    <t>Baseline Case Fixture Type</t>
  </si>
  <si>
    <t>Table 4. Flow Fixtures Baseline Case</t>
  </si>
  <si>
    <t>Conventional Water Closet</t>
  </si>
  <si>
    <t>Low-Flow Water Closet</t>
  </si>
  <si>
    <t>Composting Toilet</t>
  </si>
  <si>
    <t>Conventional Urinal</t>
  </si>
  <si>
    <t>Low-Flow Urinal</t>
  </si>
  <si>
    <t>Non-Water Urinal</t>
  </si>
  <si>
    <t xml:space="preserve">Toilet </t>
  </si>
  <si>
    <t>_1</t>
  </si>
  <si>
    <t>_2</t>
  </si>
  <si>
    <t>_3</t>
  </si>
  <si>
    <t>_A</t>
  </si>
  <si>
    <t>_B</t>
  </si>
  <si>
    <t>_C</t>
  </si>
  <si>
    <t>_D</t>
  </si>
  <si>
    <t>FLUSH</t>
  </si>
  <si>
    <t>FLOW</t>
  </si>
  <si>
    <t>ref # if included</t>
  </si>
  <si>
    <t>ref list w/o blanks</t>
  </si>
  <si>
    <t>Baseline Case</t>
  </si>
  <si>
    <t>Design Case</t>
  </si>
  <si>
    <t xml:space="preserve">Percent of males expected to use restrooms with urinals </t>
  </si>
  <si>
    <r>
      <t xml:space="preserve">1. Select the equivalent baseline fixture in the </t>
    </r>
    <r>
      <rPr>
        <b/>
        <sz val="10"/>
        <rFont val="Arial"/>
        <family val="2"/>
      </rPr>
      <t>Fixture Reference</t>
    </r>
    <r>
      <rPr>
        <sz val="10"/>
        <rFont val="Arial"/>
        <family val="2"/>
      </rPr>
      <t xml:space="preserve"> column.
2. Select the</t>
    </r>
    <r>
      <rPr>
        <b/>
        <sz val="10"/>
        <rFont val="Arial"/>
        <family val="2"/>
      </rPr>
      <t xml:space="preserve"> Fixture Type</t>
    </r>
    <r>
      <rPr>
        <sz val="10"/>
        <rFont val="Arial"/>
        <family val="2"/>
      </rPr>
      <t xml:space="preserve"> installed on the project.
3. Enter the </t>
    </r>
    <r>
      <rPr>
        <b/>
        <sz val="10"/>
        <rFont val="Arial"/>
        <family val="2"/>
      </rPr>
      <t>Flush Rate</t>
    </r>
    <r>
      <rPr>
        <sz val="10"/>
        <rFont val="Arial"/>
        <family val="2"/>
      </rPr>
      <t xml:space="preserve"> identified by the manufacturer - for dual flush toilets, use the dual flush calculator to determine average flush rate.
4. Enter </t>
    </r>
    <r>
      <rPr>
        <b/>
        <sz val="10"/>
        <rFont val="Arial"/>
        <family val="2"/>
      </rPr>
      <t>Fixture Information</t>
    </r>
    <r>
      <rPr>
        <sz val="10"/>
        <rFont val="Arial"/>
        <family val="2"/>
      </rPr>
      <t xml:space="preserve"> that matches the information provided for cutsheets.
5. Enter </t>
    </r>
    <r>
      <rPr>
        <b/>
        <sz val="10"/>
        <rFont val="Arial"/>
        <family val="2"/>
      </rPr>
      <t>Percent of Occupants</t>
    </r>
    <r>
      <rPr>
        <sz val="10"/>
        <rFont val="Arial"/>
        <family val="2"/>
      </rPr>
      <t xml:space="preserve"> with access to the fixture. If the fixture is installed in all restrooms, use 100%. Percentages for each</t>
    </r>
    <r>
      <rPr>
        <b/>
        <sz val="10"/>
        <rFont val="Arial"/>
        <family val="2"/>
      </rPr>
      <t xml:space="preserve"> Fixture Reference</t>
    </r>
    <r>
      <rPr>
        <sz val="10"/>
        <rFont val="Arial"/>
        <family val="2"/>
      </rPr>
      <t xml:space="preserve"> must total 100%.</t>
    </r>
  </si>
  <si>
    <t>Students</t>
  </si>
  <si>
    <r>
      <rPr>
        <b/>
        <sz val="10"/>
        <rFont val="Arial"/>
        <family val="2"/>
      </rPr>
      <t>Step 2.</t>
    </r>
    <r>
      <rPr>
        <sz val="10"/>
        <rFont val="Arial"/>
        <family val="2"/>
      </rPr>
      <t xml:space="preserve"> </t>
    </r>
  </si>
  <si>
    <r>
      <rPr>
        <b/>
        <sz val="10"/>
        <rFont val="Arial"/>
        <family val="2"/>
      </rPr>
      <t>Step 3.</t>
    </r>
    <r>
      <rPr>
        <sz val="10"/>
        <rFont val="Arial"/>
        <family val="2"/>
      </rPr>
      <t xml:space="preserve"> </t>
    </r>
  </si>
  <si>
    <t>UOM</t>
  </si>
  <si>
    <t>IP</t>
  </si>
  <si>
    <t>SI</t>
  </si>
  <si>
    <t>Flow</t>
  </si>
  <si>
    <t>Flush</t>
  </si>
  <si>
    <t>Design</t>
  </si>
  <si>
    <t>A</t>
  </si>
  <si>
    <t>Percent reduction from baseline (%)</t>
  </si>
  <si>
    <t>Summary for Design and Construction Rating Systems</t>
  </si>
  <si>
    <t>Summary for Operations and Maintenance Rating Systems</t>
  </si>
  <si>
    <t xml:space="preserve">Note: Projects with extremely complex occupancy and/or fixture usage patterns (such as where different types of occupants have different annual days of operation and use fixtures with differing flush and flow rates within the building) may complete a separate calculator tab to represent the usage for complex scenarios. </t>
  </si>
  <si>
    <t>Private lavatory faucet</t>
  </si>
  <si>
    <t>Unrenovated percentage of fixtures installed before 1995</t>
  </si>
  <si>
    <t>Renovated percentage of fixtures installed in 1995 or later</t>
  </si>
  <si>
    <t>Group Name</t>
  </si>
  <si>
    <t>Dual-Flush Water Closet</t>
  </si>
  <si>
    <t xml:space="preserve">Note: Baseline and design volumes are READ-ONLY. To edit, see the previous tab(s). </t>
  </si>
  <si>
    <t>Visitors</t>
  </si>
  <si>
    <t>Enable macros.</t>
  </si>
  <si>
    <t>Percentage below water consumption maximum (%)</t>
  </si>
  <si>
    <r>
      <rPr>
        <b/>
        <sz val="10"/>
        <rFont val="Arial"/>
        <family val="2"/>
      </rPr>
      <t>Step 4.</t>
    </r>
    <r>
      <rPr>
        <sz val="10"/>
        <rFont val="Arial"/>
        <family val="2"/>
      </rPr>
      <t xml:space="preserve"> </t>
    </r>
  </si>
  <si>
    <t>1 = IP, 2 = SI</t>
  </si>
  <si>
    <t>Assumptions</t>
  </si>
  <si>
    <t>Duration</t>
  </si>
  <si>
    <t>Uses 
per Day</t>
  </si>
  <si>
    <t>Employees
 (FTE)</t>
  </si>
  <si>
    <t>Employees (FTE)</t>
  </si>
  <si>
    <r>
      <t xml:space="preserve">1. Indicate whether the Fixture Type is present on the project using the </t>
    </r>
    <r>
      <rPr>
        <b/>
        <sz val="10"/>
        <rFont val="Arial"/>
        <family val="2"/>
      </rPr>
      <t>Included in Project</t>
    </r>
    <r>
      <rPr>
        <sz val="10"/>
        <rFont val="Arial"/>
        <family val="2"/>
      </rPr>
      <t xml:space="preserve"> column.
2. If necessary, modify the </t>
    </r>
    <r>
      <rPr>
        <b/>
        <sz val="10"/>
        <rFont val="Arial"/>
        <family val="2"/>
      </rPr>
      <t>Uses per Day</t>
    </r>
    <r>
      <rPr>
        <sz val="10"/>
        <rFont val="Arial"/>
        <family val="2"/>
      </rPr>
      <t xml:space="preserve"> column for non-default uses.</t>
    </r>
  </si>
  <si>
    <t>Included 
in Project</t>
  </si>
  <si>
    <t>Fixture Manufact.</t>
  </si>
  <si>
    <t>Employees
(FTE)</t>
  </si>
  <si>
    <t>Residential
(sec)</t>
  </si>
  <si>
    <t>Non-
Residential 
(sec)</t>
  </si>
  <si>
    <t>Non-
Residential
(sec)</t>
  </si>
  <si>
    <t>Enter the resulting per minute flow rate into the design case flow rate section for public lavatory faucet.</t>
  </si>
  <si>
    <t>Cycle Duration
(sec)</t>
  </si>
  <si>
    <t>Enter the resulting per flush rate into the design case flush rate section for toilet.</t>
  </si>
  <si>
    <t>Maximum Installed Flush/Flow Rate</t>
  </si>
  <si>
    <t>For projects with dual-flush toilets</t>
  </si>
  <si>
    <t>For projects with metering faucets</t>
  </si>
  <si>
    <t>Percent of Occupants
(%)</t>
  </si>
  <si>
    <t>Total
Design Consumption</t>
  </si>
  <si>
    <t>Total
Baseline Consumption</t>
  </si>
  <si>
    <t>Annual Baseline Consumption</t>
  </si>
  <si>
    <t>Annual Design
Consumption</t>
  </si>
  <si>
    <t>Annual 
Flush 
Volume</t>
  </si>
  <si>
    <t>Annual 
Flow 
Volume</t>
  </si>
  <si>
    <t>Annual 
Flush Volume</t>
  </si>
  <si>
    <t>Percent Occupants using 
Group
(%)</t>
  </si>
  <si>
    <t>Percent Occupants using
Group
(%)</t>
  </si>
  <si>
    <t>Baseline multiplier (%)</t>
  </si>
  <si>
    <t>Complete the Flush and/or Flow tables on the Group tab.</t>
  </si>
  <si>
    <t>Uses per Day</t>
  </si>
  <si>
    <r>
      <t xml:space="preserve">1. Select the equivalent baseline fixture in the </t>
    </r>
    <r>
      <rPr>
        <b/>
        <sz val="10"/>
        <rFont val="Arial"/>
        <family val="2"/>
      </rPr>
      <t>Fixture Reference</t>
    </r>
    <r>
      <rPr>
        <sz val="10"/>
        <rFont val="Arial"/>
        <family val="2"/>
      </rPr>
      <t xml:space="preserve"> column.
2. Select the</t>
    </r>
    <r>
      <rPr>
        <b/>
        <sz val="10"/>
        <rFont val="Arial"/>
        <family val="2"/>
      </rPr>
      <t xml:space="preserve"> Fixture Type</t>
    </r>
    <r>
      <rPr>
        <sz val="10"/>
        <rFont val="Arial"/>
        <family val="2"/>
      </rPr>
      <t xml:space="preserve"> installed on the project.
3. Enter the </t>
    </r>
    <r>
      <rPr>
        <b/>
        <sz val="10"/>
        <rFont val="Arial"/>
        <family val="2"/>
      </rPr>
      <t>Flow Rate</t>
    </r>
    <r>
      <rPr>
        <sz val="10"/>
        <rFont val="Arial"/>
        <family val="2"/>
      </rPr>
      <t xml:space="preserve"> identified by the manufacturer - for metering faucets, use the metering faucet calculator to determine flow rate.
4. Enter </t>
    </r>
    <r>
      <rPr>
        <b/>
        <sz val="10"/>
        <rFont val="Arial"/>
        <family val="2"/>
      </rPr>
      <t>Fixture Information</t>
    </r>
    <r>
      <rPr>
        <sz val="10"/>
        <rFont val="Arial"/>
        <family val="2"/>
      </rPr>
      <t xml:space="preserve"> that matches the information provided for cutsheets.
5. Enter </t>
    </r>
    <r>
      <rPr>
        <b/>
        <sz val="10"/>
        <rFont val="Arial"/>
        <family val="2"/>
      </rPr>
      <t>Percent of Occupants</t>
    </r>
    <r>
      <rPr>
        <sz val="10"/>
        <rFont val="Arial"/>
        <family val="2"/>
      </rPr>
      <t xml:space="preserve"> with access to the fixture. If the fixture is installed in all restrooms, use 100%. Percentages for each</t>
    </r>
    <r>
      <rPr>
        <b/>
        <sz val="10"/>
        <rFont val="Arial"/>
        <family val="2"/>
      </rPr>
      <t xml:space="preserve"> Fixture Reference</t>
    </r>
    <r>
      <rPr>
        <sz val="10"/>
        <rFont val="Arial"/>
        <family val="2"/>
      </rPr>
      <t xml:space="preserve"> must total 100%.</t>
    </r>
  </si>
  <si>
    <t>B</t>
  </si>
  <si>
    <t>n/a</t>
  </si>
  <si>
    <r>
      <t xml:space="preserve">Other </t>
    </r>
    <r>
      <rPr>
        <i/>
        <sz val="10"/>
        <rFont val="Arial"/>
        <family val="2"/>
      </rPr>
      <t>(specify)</t>
    </r>
  </si>
  <si>
    <t>Default uses per day</t>
  </si>
  <si>
    <r>
      <rPr>
        <b/>
        <sz val="9"/>
        <color rgb="FF000000"/>
        <rFont val="Arial"/>
        <family val="2"/>
      </rPr>
      <t>DEFAULT</t>
    </r>
    <r>
      <rPr>
        <sz val="9"/>
        <color rgb="FF000000"/>
        <rFont val="Arial"/>
        <family val="2"/>
      </rPr>
      <t xml:space="preserve"> Uses per Day</t>
    </r>
  </si>
  <si>
    <t>Default uses can be modified in special circumstances. Provide a narrative in the special circumstances section of the LEED credit form explaining the modifications. Baseline and installed case usage values must match and cannot be modified independently.  Non-default uses are italicized.</t>
  </si>
  <si>
    <r>
      <rPr>
        <sz val="16"/>
        <rFont val="Arial Black"/>
        <family val="2"/>
      </rPr>
      <t xml:space="preserve">Indoor Water Use Reduction Calculator
</t>
    </r>
    <r>
      <rPr>
        <sz val="9"/>
        <rFont val="Arial"/>
        <family val="2"/>
      </rPr>
      <t>LEED v4 WE Prerequisite Indoor Water Use Reduction and WE Credit Indoor Water Use Reduction</t>
    </r>
  </si>
  <si>
    <t>Note: This calculator is for use with Excel for Mac 2011 and Excel 2007 or later.</t>
  </si>
  <si>
    <t>Note: This selection must match the unit of measurement chosen during project registration.</t>
  </si>
  <si>
    <t>Unit of measurement</t>
  </si>
  <si>
    <t>IP units</t>
  </si>
  <si>
    <r>
      <t xml:space="preserve">Students
</t>
    </r>
    <r>
      <rPr>
        <i/>
        <sz val="9"/>
        <color theme="1"/>
        <rFont val="Arial"/>
        <family val="2"/>
      </rPr>
      <t>(For Schools only)</t>
    </r>
  </si>
  <si>
    <t>Determine the percent of males expected to use urinals (enter 100% if all male restrooms have urinals, 0% if the project contains no urinals, etc)</t>
  </si>
  <si>
    <r>
      <t xml:space="preserve">Enter project occupancy information.  This information should be consistent with occupancy numbers used in other LEED credits.  The default gender mix is half male and half female.  If necessary, modify the </t>
    </r>
    <r>
      <rPr>
        <b/>
        <sz val="10"/>
        <color theme="1"/>
        <rFont val="Arial"/>
        <family val="2"/>
      </rPr>
      <t xml:space="preserve">Male </t>
    </r>
    <r>
      <rPr>
        <sz val="10"/>
        <color theme="1"/>
        <rFont val="Arial"/>
        <family val="2"/>
      </rPr>
      <t xml:space="preserve">and </t>
    </r>
    <r>
      <rPr>
        <b/>
        <sz val="10"/>
        <color theme="1"/>
        <rFont val="Arial"/>
        <family val="2"/>
      </rPr>
      <t>Female</t>
    </r>
    <r>
      <rPr>
        <sz val="10"/>
        <color theme="1"/>
        <rFont val="Arial"/>
        <family val="2"/>
      </rPr>
      <t xml:space="preserve"> occupant type columns for non-default gender mix. </t>
    </r>
  </si>
  <si>
    <t>Enter the number of days the project is accessible to employees or FTE.</t>
  </si>
  <si>
    <t>Upload the completed spreadsheet to LEED Online.  Complete any related summary fields in the LEED credit form with the results of the calculator.</t>
  </si>
  <si>
    <t>V01</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</si>
  <si>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</si>
  <si>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</si>
  <si>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</si>
  <si>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Yes</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</si>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</sst>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43" formatCode="_(* #,##0.00_);_(* \(#,##0.00\);_(* &quot;-&quot;??_);_(@_)"/>
  </numFmts>
  <fonts count="4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rgb="FF000000"/>
      <name val="Arial"/>
      <family val="2"/>
    </font>
    <font>
      <sz val="10"/>
      <color rgb="FF000000"/>
      <name val="Arial"/>
      <family val="2"/>
    </font>
    <font>
      <sz val="10"/>
      <color theme="1"/>
      <name val="Times New Roman"/>
      <family val="1"/>
    </font>
    <font>
      <sz val="9"/>
      <color rgb="FF000000"/>
      <name val="Arial"/>
      <family val="2"/>
    </font>
    <font>
      <sz val="11"/>
      <color theme="1"/>
      <name val="Calibri"/>
      <family val="2"/>
      <scheme val="minor"/>
    </font>
    <font>
      <sz val="10"/>
      <color theme="0"/>
      <name val="Arial"/>
      <family val="2"/>
    </font>
    <font>
      <b/>
      <sz val="10"/>
      <color theme="0"/>
      <name val="Arial"/>
      <family val="2"/>
    </font>
    <font>
      <sz val="12"/>
      <name val="Arial"/>
      <family val="2"/>
    </font>
    <font>
      <b/>
      <sz val="9"/>
      <color theme="1"/>
      <name val="Arial"/>
      <family val="2"/>
    </font>
    <font>
      <sz val="10"/>
      <name val="Arial"/>
      <family val="2"/>
    </font>
    <font>
      <sz val="9"/>
      <name val="Arial"/>
      <family val="2"/>
    </font>
    <font>
      <b/>
      <sz val="10"/>
      <name val="Arial"/>
      <family val="2"/>
    </font>
    <font>
      <sz val="9"/>
      <color theme="1"/>
      <name val="Arial"/>
      <family val="2"/>
    </font>
    <font>
      <b/>
      <sz val="9"/>
      <color rgb="FF000000"/>
      <name val="Arial"/>
      <family val="2"/>
    </font>
    <font>
      <b/>
      <sz val="10"/>
      <color theme="1"/>
      <name val="Arial"/>
      <family val="2"/>
    </font>
    <font>
      <sz val="10"/>
      <color theme="0" tint="-0.34998626667073579"/>
      <name val="Arial"/>
      <family val="2"/>
    </font>
    <font>
      <sz val="10"/>
      <color theme="9" tint="-0.249977111117893"/>
      <name val="Arial"/>
      <family val="2"/>
    </font>
    <font>
      <sz val="10"/>
      <color theme="0" tint="-0.499984740745262"/>
      <name val="Arial"/>
      <family val="2"/>
    </font>
    <font>
      <sz val="8"/>
      <name val="Arial"/>
      <family val="2"/>
    </font>
    <font>
      <i/>
      <sz val="10"/>
      <name val="Arial"/>
      <family val="2"/>
    </font>
    <font>
      <b/>
      <sz val="16"/>
      <name val="Arial"/>
      <family val="2"/>
    </font>
    <font>
      <sz val="10"/>
      <color rgb="FF777777"/>
      <name val="Arial"/>
      <family val="2"/>
    </font>
    <font>
      <b/>
      <sz val="9"/>
      <name val="Arial"/>
      <family val="2"/>
    </font>
    <font>
      <sz val="10"/>
      <name val="Arial"/>
      <family val="2"/>
    </font>
    <font>
      <sz val="10"/>
      <color rgb="FFFF0000"/>
      <name val="Arial"/>
      <family val="2"/>
    </font>
    <font>
      <sz val="9"/>
      <color theme="1"/>
      <name val="Tahoma"/>
      <family val="2"/>
    </font>
    <font>
      <sz val="16"/>
      <color theme="0"/>
      <name val="Arial Black"/>
      <family val="2"/>
    </font>
    <font>
      <sz val="10"/>
      <color indexed="81"/>
      <name val="Arial"/>
      <family val="2"/>
    </font>
    <font>
      <sz val="16"/>
      <name val="Arial Black"/>
      <family val="2"/>
    </font>
    <font>
      <sz val="11"/>
      <name val="Calibri"/>
      <family val="2"/>
      <scheme val="minor"/>
    </font>
    <font>
      <b/>
      <i/>
      <sz val="10"/>
      <color theme="1"/>
      <name val="Arial"/>
      <family val="2"/>
    </font>
    <font>
      <sz val="9"/>
      <color theme="0" tint="-0.34998626667073579"/>
      <name val="Arial"/>
      <family val="2"/>
    </font>
    <font>
      <sz val="9"/>
      <color theme="0" tint="-0.499984740745262"/>
      <name val="Arial"/>
      <family val="2"/>
    </font>
    <font>
      <sz val="9"/>
      <color theme="0"/>
      <name val="Arial"/>
      <family val="2"/>
    </font>
    <font>
      <i/>
      <sz val="9"/>
      <color theme="1"/>
      <name val="Arial"/>
      <family val="2"/>
    </font>
    <font>
      <sz val="8"/>
      <color theme="0" tint="-0.499984740745262"/>
      <name val="Arial"/>
      <family val="2"/>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5BBBB7"/>
        <bgColor indexed="64"/>
      </patternFill>
    </fill>
    <fill>
      <patternFill patternType="solid">
        <fgColor theme="0" tint="-0.14996795556505021"/>
        <bgColor indexed="64"/>
      </patternFill>
    </fill>
    <fill>
      <patternFill patternType="solid">
        <fgColor indexed="65"/>
        <bgColor indexed="64"/>
      </patternFill>
    </fill>
  </fills>
  <borders count="70">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style="thin">
        <color theme="0" tint="-0.499984740745262"/>
      </left>
      <right style="thin">
        <color theme="0" tint="-0.499984740745262"/>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34998626667073579"/>
      </left>
      <right/>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right/>
      <top style="thin">
        <color theme="0" tint="-0.34998626667073579"/>
      </top>
      <bottom/>
      <diagonal/>
    </border>
    <border>
      <left style="thin">
        <color theme="0" tint="-0.499984740745262"/>
      </left>
      <right style="thin">
        <color theme="0" tint="-0.34998626667073579"/>
      </right>
      <top/>
      <bottom style="thin">
        <color theme="0" tint="-0.34998626667073579"/>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24994659260841701"/>
      </bottom>
      <diagonal/>
    </border>
    <border>
      <left/>
      <right style="thin">
        <color theme="0" tint="-0.499984740745262"/>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style="thin">
        <color theme="0" tint="-0.499984740745262"/>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style="thin">
        <color theme="0" tint="-0.499984740745262"/>
      </top>
      <bottom/>
      <diagonal/>
    </border>
    <border>
      <left/>
      <right style="thin">
        <color theme="0" tint="-0.24994659260841701"/>
      </right>
      <top/>
      <bottom style="thin">
        <color theme="0" tint="-0.24994659260841701"/>
      </bottom>
      <diagonal/>
    </border>
  </borders>
  <cellStyleXfs count="13">
    <xf numFmtId="0" fontId="0" fillId="0" borderId="0"/>
    <xf numFmtId="0" fontId="10" fillId="0" borderId="0"/>
    <xf numFmtId="0" fontId="15" fillId="0" borderId="0"/>
    <xf numFmtId="9" fontId="15" fillId="0" borderId="0" applyFont="0" applyFill="0" applyBorder="0" applyAlignment="0" applyProtection="0"/>
    <xf numFmtId="0" fontId="15" fillId="0" borderId="0"/>
    <xf numFmtId="0" fontId="29" fillId="0" borderId="0"/>
    <xf numFmtId="0" fontId="15" fillId="0" borderId="0"/>
    <xf numFmtId="0" fontId="15" fillId="0" borderId="0"/>
    <xf numFmtId="0" fontId="15" fillId="0" borderId="0"/>
    <xf numFmtId="0" fontId="5" fillId="0" borderId="0"/>
    <xf numFmtId="0" fontId="5" fillId="0" borderId="0"/>
    <xf numFmtId="43" fontId="10" fillId="0" borderId="0" applyFont="0" applyFill="0" applyBorder="0" applyAlignment="0" applyProtection="0"/>
    <xf numFmtId="0" fontId="10" fillId="0" borderId="0"/>
  </cellStyleXfs>
  <cellXfs count="511">
    <xf numFmtId="0" fontId="0" fillId="0" borderId="0" xfId="0"/>
    <xf numFmtId="0" fontId="15" fillId="4" borderId="1" xfId="5" applyFont="1" applyFill="1" applyBorder="1" applyAlignment="1" applyProtection="1">
      <alignment vertical="center"/>
      <protection hidden="1"/>
    </xf>
    <xf numFmtId="0" fontId="15" fillId="4" borderId="2" xfId="5" applyFont="1" applyFill="1" applyBorder="1" applyAlignment="1" applyProtection="1">
      <alignment vertical="center"/>
      <protection hidden="1"/>
    </xf>
    <xf numFmtId="0" fontId="15" fillId="4" borderId="3" xfId="5" applyFont="1" applyFill="1" applyBorder="1" applyAlignment="1" applyProtection="1">
      <alignment vertical="center"/>
      <protection hidden="1"/>
    </xf>
    <xf numFmtId="0" fontId="15" fillId="3" borderId="0" xfId="5" applyFont="1" applyFill="1" applyAlignment="1" applyProtection="1">
      <alignment vertical="center"/>
      <protection hidden="1"/>
    </xf>
    <xf numFmtId="0" fontId="15" fillId="4" borderId="4" xfId="5" applyFont="1" applyFill="1" applyBorder="1" applyAlignment="1" applyProtection="1">
      <alignment vertical="center"/>
      <protection hidden="1"/>
    </xf>
    <xf numFmtId="0" fontId="15" fillId="4" borderId="0" xfId="5" applyFont="1" applyFill="1" applyBorder="1" applyAlignment="1" applyProtection="1">
      <alignment vertical="center"/>
      <protection hidden="1"/>
    </xf>
    <xf numFmtId="0" fontId="26" fillId="4" borderId="0" xfId="5" applyFont="1" applyFill="1" applyBorder="1" applyAlignment="1" applyProtection="1">
      <alignment horizontal="left" vertical="center"/>
      <protection hidden="1"/>
    </xf>
    <xf numFmtId="0" fontId="17" fillId="4" borderId="0" xfId="5" applyFont="1" applyFill="1" applyBorder="1" applyAlignment="1" applyProtection="1">
      <alignment vertical="center"/>
      <protection hidden="1"/>
    </xf>
    <xf numFmtId="0" fontId="17" fillId="4" borderId="5" xfId="5" applyFont="1" applyFill="1" applyBorder="1" applyAlignment="1" applyProtection="1">
      <alignment vertical="center"/>
      <protection hidden="1"/>
    </xf>
    <xf numFmtId="49" fontId="24" fillId="4" borderId="0" xfId="5" applyNumberFormat="1" applyFont="1" applyFill="1" applyBorder="1" applyAlignment="1" applyProtection="1">
      <alignment vertical="center"/>
      <protection hidden="1"/>
    </xf>
    <xf numFmtId="0" fontId="15" fillId="4" borderId="0" xfId="5" applyFont="1" applyFill="1" applyAlignment="1" applyProtection="1">
      <alignment vertical="center"/>
      <protection hidden="1"/>
    </xf>
    <xf numFmtId="49" fontId="25" fillId="4" borderId="0" xfId="5" applyNumberFormat="1" applyFont="1" applyFill="1" applyBorder="1" applyAlignment="1" applyProtection="1">
      <alignment vertical="center"/>
      <protection hidden="1"/>
    </xf>
    <xf numFmtId="0" fontId="15" fillId="4" borderId="5" xfId="5" applyFont="1" applyFill="1" applyBorder="1" applyAlignment="1" applyProtection="1">
      <alignment vertical="center"/>
      <protection hidden="1"/>
    </xf>
    <xf numFmtId="49" fontId="25" fillId="4" borderId="0" xfId="5" applyNumberFormat="1" applyFont="1" applyFill="1" applyBorder="1" applyAlignment="1" applyProtection="1">
      <alignment vertical="center" wrapText="1"/>
      <protection hidden="1"/>
    </xf>
    <xf numFmtId="49" fontId="25" fillId="4" borderId="5" xfId="5" applyNumberFormat="1" applyFont="1" applyFill="1" applyBorder="1" applyAlignment="1" applyProtection="1">
      <alignment vertical="center"/>
      <protection hidden="1"/>
    </xf>
    <xf numFmtId="49" fontId="15" fillId="4" borderId="0" xfId="5" applyNumberFormat="1" applyFont="1" applyFill="1" applyBorder="1" applyAlignment="1" applyProtection="1">
      <alignment vertical="center"/>
      <protection hidden="1"/>
    </xf>
    <xf numFmtId="0" fontId="30" fillId="4" borderId="0" xfId="5" applyFont="1" applyFill="1" applyBorder="1" applyAlignment="1" applyProtection="1">
      <alignment vertical="center"/>
      <protection hidden="1"/>
    </xf>
    <xf numFmtId="0" fontId="15" fillId="3" borderId="0" xfId="5" applyFont="1" applyFill="1" applyBorder="1" applyAlignment="1" applyProtection="1">
      <alignment vertical="center"/>
      <protection hidden="1"/>
    </xf>
    <xf numFmtId="0" fontId="15" fillId="4" borderId="0" xfId="5" applyNumberFormat="1" applyFont="1" applyFill="1" applyBorder="1" applyAlignment="1" applyProtection="1">
      <alignment vertical="center"/>
      <protection hidden="1"/>
    </xf>
    <xf numFmtId="4" fontId="15" fillId="4" borderId="0" xfId="5" applyNumberFormat="1" applyFont="1" applyFill="1" applyBorder="1" applyAlignment="1" applyProtection="1">
      <alignment horizontal="right" vertical="center"/>
      <protection hidden="1"/>
    </xf>
    <xf numFmtId="4" fontId="15" fillId="4" borderId="0" xfId="3" applyNumberFormat="1" applyFont="1" applyFill="1" applyBorder="1" applyAlignment="1" applyProtection="1">
      <alignment horizontal="right" vertical="center"/>
      <protection hidden="1"/>
    </xf>
    <xf numFmtId="0" fontId="11" fillId="4" borderId="4" xfId="5" applyFont="1" applyFill="1" applyBorder="1" applyAlignment="1" applyProtection="1">
      <alignment vertical="center"/>
      <protection hidden="1"/>
    </xf>
    <xf numFmtId="0" fontId="15" fillId="4" borderId="7" xfId="5" applyFont="1" applyFill="1" applyBorder="1" applyAlignment="1" applyProtection="1">
      <alignment vertical="center"/>
      <protection hidden="1"/>
    </xf>
    <xf numFmtId="0" fontId="15" fillId="4" borderId="8" xfId="5" applyFont="1" applyFill="1" applyBorder="1" applyAlignment="1" applyProtection="1">
      <alignment vertical="center"/>
      <protection hidden="1"/>
    </xf>
    <xf numFmtId="49" fontId="27" fillId="4" borderId="8" xfId="5" applyNumberFormat="1" applyFont="1" applyFill="1" applyBorder="1" applyAlignment="1" applyProtection="1">
      <alignment vertical="top"/>
      <protection hidden="1"/>
    </xf>
    <xf numFmtId="49" fontId="27" fillId="4" borderId="8" xfId="5" applyNumberFormat="1" applyFont="1" applyFill="1" applyBorder="1" applyAlignment="1" applyProtection="1">
      <alignment vertical="top" wrapText="1"/>
      <protection hidden="1"/>
    </xf>
    <xf numFmtId="0" fontId="15" fillId="4" borderId="9" xfId="5" applyFont="1" applyFill="1" applyBorder="1" applyAlignment="1" applyProtection="1">
      <alignment vertical="center"/>
      <protection hidden="1"/>
    </xf>
    <xf numFmtId="0" fontId="15" fillId="3" borderId="0" xfId="5" applyFont="1" applyFill="1" applyBorder="1" applyAlignment="1" applyProtection="1">
      <protection hidden="1"/>
    </xf>
    <xf numFmtId="0" fontId="24" fillId="3" borderId="0" xfId="5" applyNumberFormat="1" applyFont="1" applyFill="1" applyAlignment="1" applyProtection="1">
      <alignment vertical="top" wrapText="1"/>
      <protection hidden="1"/>
    </xf>
    <xf numFmtId="49" fontId="15" fillId="3" borderId="0" xfId="5" applyNumberFormat="1" applyFont="1" applyFill="1" applyBorder="1" applyAlignment="1" applyProtection="1">
      <alignment vertical="center"/>
      <protection hidden="1"/>
    </xf>
    <xf numFmtId="49" fontId="15" fillId="3" borderId="0" xfId="5" applyNumberFormat="1" applyFont="1" applyFill="1" applyBorder="1" applyAlignment="1" applyProtection="1">
      <protection hidden="1"/>
    </xf>
    <xf numFmtId="49" fontId="15" fillId="3" borderId="0" xfId="5" applyNumberFormat="1" applyFont="1" applyFill="1" applyBorder="1" applyAlignment="1" applyProtection="1">
      <alignment vertical="top" wrapText="1"/>
      <protection hidden="1"/>
    </xf>
    <xf numFmtId="44" fontId="15" fillId="3" borderId="0" xfId="5" applyNumberFormat="1" applyFont="1" applyFill="1" applyBorder="1" applyAlignment="1" applyProtection="1">
      <alignment vertical="center"/>
      <protection hidden="1"/>
    </xf>
    <xf numFmtId="49" fontId="24" fillId="4" borderId="22" xfId="5" applyNumberFormat="1" applyFont="1" applyFill="1" applyBorder="1" applyAlignment="1" applyProtection="1">
      <alignment vertical="center"/>
      <protection hidden="1"/>
    </xf>
    <xf numFmtId="0" fontId="15" fillId="4" borderId="22" xfId="5" applyFont="1" applyFill="1" applyBorder="1" applyAlignment="1" applyProtection="1">
      <alignment vertical="center"/>
      <protection hidden="1"/>
    </xf>
    <xf numFmtId="49" fontId="25" fillId="4" borderId="22" xfId="5" applyNumberFormat="1" applyFont="1" applyFill="1" applyBorder="1" applyAlignment="1" applyProtection="1">
      <alignment vertical="center"/>
      <protection hidden="1"/>
    </xf>
    <xf numFmtId="0" fontId="17" fillId="4" borderId="22" xfId="5" applyFont="1" applyFill="1" applyBorder="1" applyAlignment="1" applyProtection="1">
      <alignment vertical="center"/>
      <protection hidden="1"/>
    </xf>
    <xf numFmtId="0" fontId="15" fillId="4" borderId="29" xfId="5" applyFont="1" applyFill="1" applyBorder="1" applyAlignment="1" applyProtection="1">
      <alignment vertical="center"/>
      <protection hidden="1"/>
    </xf>
    <xf numFmtId="49" fontId="25" fillId="4" borderId="29" xfId="5" applyNumberFormat="1" applyFont="1" applyFill="1" applyBorder="1" applyAlignment="1" applyProtection="1">
      <alignment vertical="center" wrapText="1"/>
      <protection hidden="1"/>
    </xf>
    <xf numFmtId="49" fontId="25" fillId="4" borderId="29" xfId="5" applyNumberFormat="1" applyFont="1" applyFill="1" applyBorder="1" applyAlignment="1" applyProtection="1">
      <alignment vertical="center"/>
      <protection hidden="1"/>
    </xf>
    <xf numFmtId="0" fontId="17" fillId="4" borderId="29" xfId="5" applyFont="1" applyFill="1" applyBorder="1" applyAlignment="1" applyProtection="1">
      <alignment vertical="center"/>
      <protection hidden="1"/>
    </xf>
    <xf numFmtId="0" fontId="21" fillId="0" borderId="16" xfId="0" applyFont="1" applyBorder="1" applyAlignment="1" applyProtection="1">
      <alignment vertical="center"/>
      <protection hidden="1"/>
    </xf>
    <xf numFmtId="0" fontId="21" fillId="0" borderId="20" xfId="0" applyFont="1" applyBorder="1" applyAlignment="1" applyProtection="1">
      <alignment vertical="center"/>
      <protection hidden="1"/>
    </xf>
    <xf numFmtId="0" fontId="21" fillId="0" borderId="10" xfId="0" applyFont="1" applyBorder="1" applyAlignment="1" applyProtection="1">
      <alignment vertical="center"/>
      <protection hidden="1"/>
    </xf>
    <xf numFmtId="0" fontId="21" fillId="0" borderId="18" xfId="0" applyFont="1" applyBorder="1" applyAlignment="1" applyProtection="1">
      <alignment vertical="center"/>
      <protection hidden="1"/>
    </xf>
    <xf numFmtId="0" fontId="21" fillId="0" borderId="0" xfId="0" applyFont="1" applyAlignment="1" applyProtection="1">
      <alignment vertical="center"/>
      <protection hidden="1"/>
    </xf>
    <xf numFmtId="0" fontId="11" fillId="5" borderId="0" xfId="0" applyFont="1" applyFill="1" applyBorder="1" applyAlignment="1" applyProtection="1">
      <alignment vertical="center"/>
      <protection hidden="1"/>
    </xf>
    <xf numFmtId="0" fontId="11" fillId="5" borderId="0" xfId="0" applyFont="1" applyFill="1" applyAlignment="1" applyProtection="1">
      <alignment vertical="center" wrapText="1"/>
      <protection hidden="1"/>
    </xf>
    <xf numFmtId="0" fontId="11" fillId="5" borderId="0" xfId="0" applyFont="1" applyFill="1" applyAlignment="1" applyProtection="1">
      <alignment horizontal="left" vertical="center" wrapText="1"/>
      <protection hidden="1"/>
    </xf>
    <xf numFmtId="0" fontId="21" fillId="0" borderId="10" xfId="0" applyFont="1" applyFill="1" applyBorder="1" applyAlignment="1" applyProtection="1">
      <alignment horizontal="left" vertical="center" wrapText="1"/>
      <protection hidden="1"/>
    </xf>
    <xf numFmtId="0" fontId="23" fillId="0" borderId="0" xfId="0" applyFont="1" applyBorder="1" applyAlignment="1" applyProtection="1">
      <alignment horizontal="left" vertical="center"/>
      <protection hidden="1"/>
    </xf>
    <xf numFmtId="0" fontId="23" fillId="0" borderId="0" xfId="0" applyFont="1" applyBorder="1" applyAlignment="1" applyProtection="1">
      <alignment vertical="center" wrapText="1"/>
      <protection hidden="1"/>
    </xf>
    <xf numFmtId="0" fontId="21" fillId="0" borderId="0" xfId="0" applyFont="1" applyAlignment="1" applyProtection="1">
      <alignment horizontal="center" vertical="center" wrapText="1"/>
      <protection hidden="1"/>
    </xf>
    <xf numFmtId="0" fontId="22" fillId="0" borderId="0" xfId="0" applyFont="1" applyBorder="1" applyAlignment="1" applyProtection="1">
      <alignment vertical="center" wrapText="1"/>
      <protection hidden="1"/>
    </xf>
    <xf numFmtId="0" fontId="22" fillId="0" borderId="0" xfId="0" applyFont="1" applyBorder="1" applyAlignment="1" applyProtection="1">
      <alignment vertical="center"/>
      <protection hidden="1"/>
    </xf>
    <xf numFmtId="0" fontId="21" fillId="0" borderId="0" xfId="0" applyFont="1" applyFill="1" applyBorder="1" applyAlignment="1" applyProtection="1">
      <alignment vertical="center"/>
      <protection hidden="1"/>
    </xf>
    <xf numFmtId="0" fontId="15" fillId="0" borderId="0" xfId="2" applyFont="1" applyFill="1" applyBorder="1" applyAlignment="1" applyProtection="1">
      <alignment vertical="center"/>
      <protection hidden="1"/>
    </xf>
    <xf numFmtId="0" fontId="17" fillId="0" borderId="0" xfId="2" applyFont="1" applyFill="1" applyBorder="1" applyAlignment="1" applyProtection="1">
      <alignment vertical="center"/>
      <protection hidden="1"/>
    </xf>
    <xf numFmtId="0" fontId="15" fillId="0" borderId="0" xfId="2" applyFont="1" applyFill="1" applyBorder="1" applyAlignment="1" applyProtection="1">
      <alignment horizontal="left" vertical="center"/>
      <protection hidden="1"/>
    </xf>
    <xf numFmtId="0" fontId="17" fillId="0" borderId="0" xfId="2" applyFont="1" applyFill="1" applyBorder="1" applyAlignment="1" applyProtection="1">
      <alignment horizontal="left" vertical="center"/>
      <protection hidden="1"/>
    </xf>
    <xf numFmtId="49" fontId="15" fillId="0" borderId="0" xfId="2" applyNumberFormat="1" applyFont="1" applyFill="1" applyBorder="1" applyAlignment="1" applyProtection="1">
      <alignment vertical="center"/>
      <protection hidden="1"/>
    </xf>
    <xf numFmtId="9" fontId="20" fillId="0" borderId="0" xfId="0" applyNumberFormat="1" applyFont="1" applyFill="1" applyBorder="1" applyAlignment="1" applyProtection="1">
      <alignment horizontal="center" vertical="center"/>
      <protection hidden="1"/>
    </xf>
    <xf numFmtId="49" fontId="15" fillId="0" borderId="0" xfId="2" applyNumberFormat="1" applyFont="1" applyFill="1" applyBorder="1" applyAlignment="1" applyProtection="1">
      <alignment horizontal="left" vertical="center"/>
      <protection hidden="1"/>
    </xf>
    <xf numFmtId="4" fontId="15" fillId="0" borderId="0" xfId="2" applyNumberFormat="1" applyFont="1" applyFill="1" applyBorder="1" applyAlignment="1" applyProtection="1">
      <alignment horizontal="right" vertical="center"/>
      <protection hidden="1"/>
    </xf>
    <xf numFmtId="4" fontId="15" fillId="0" borderId="0" xfId="2" applyNumberFormat="1" applyFont="1" applyFill="1" applyBorder="1" applyAlignment="1" applyProtection="1">
      <alignment horizontal="center" vertical="center"/>
      <protection hidden="1"/>
    </xf>
    <xf numFmtId="49" fontId="27" fillId="0" borderId="0" xfId="2" applyNumberFormat="1" applyFont="1" applyFill="1" applyBorder="1" applyAlignment="1" applyProtection="1">
      <alignment vertical="center"/>
      <protection hidden="1"/>
    </xf>
    <xf numFmtId="49" fontId="27" fillId="0" borderId="0" xfId="2" applyNumberFormat="1" applyFont="1" applyFill="1" applyBorder="1" applyAlignment="1" applyProtection="1">
      <alignment vertical="center" wrapText="1"/>
      <protection hidden="1"/>
    </xf>
    <xf numFmtId="9" fontId="20" fillId="0" borderId="0" xfId="0" applyNumberFormat="1" applyFont="1" applyFill="1" applyBorder="1" applyAlignment="1" applyProtection="1">
      <alignment vertical="center"/>
      <protection hidden="1"/>
    </xf>
    <xf numFmtId="0" fontId="20" fillId="0" borderId="0" xfId="0" applyFont="1" applyBorder="1" applyAlignment="1" applyProtection="1">
      <protection hidden="1"/>
    </xf>
    <xf numFmtId="0" fontId="32" fillId="5" borderId="0" xfId="0" applyFont="1" applyFill="1" applyAlignment="1" applyProtection="1">
      <alignment vertical="center"/>
      <protection hidden="1"/>
    </xf>
    <xf numFmtId="0" fontId="15" fillId="2" borderId="21" xfId="0" applyFont="1" applyFill="1" applyBorder="1" applyAlignment="1" applyProtection="1">
      <alignment horizontal="center" vertical="center" wrapText="1"/>
      <protection hidden="1"/>
    </xf>
    <xf numFmtId="0" fontId="16" fillId="3" borderId="13" xfId="2" applyNumberFormat="1" applyFont="1" applyFill="1" applyBorder="1" applyAlignment="1" applyProtection="1">
      <alignment vertical="top" wrapText="1"/>
    </xf>
    <xf numFmtId="0" fontId="17" fillId="7" borderId="2" xfId="2" applyNumberFormat="1" applyFont="1" applyFill="1" applyBorder="1" applyAlignment="1" applyProtection="1">
      <alignment vertical="top"/>
    </xf>
    <xf numFmtId="0" fontId="15" fillId="7" borderId="2" xfId="2" applyNumberFormat="1" applyFont="1" applyFill="1" applyBorder="1" applyAlignment="1" applyProtection="1">
      <alignment vertical="top" wrapText="1"/>
    </xf>
    <xf numFmtId="0" fontId="17" fillId="7" borderId="0" xfId="2" applyNumberFormat="1" applyFont="1" applyFill="1" applyBorder="1" applyAlignment="1" applyProtection="1">
      <alignment vertical="top"/>
    </xf>
    <xf numFmtId="0" fontId="15" fillId="7" borderId="0" xfId="2" applyNumberFormat="1" applyFont="1" applyFill="1" applyBorder="1" applyAlignment="1" applyProtection="1">
      <alignment vertical="top" wrapText="1"/>
    </xf>
    <xf numFmtId="0" fontId="4" fillId="6" borderId="12" xfId="0" applyFont="1" applyFill="1" applyBorder="1" applyAlignment="1" applyProtection="1">
      <alignment horizontal="left" vertical="center" indent="1"/>
      <protection hidden="1"/>
    </xf>
    <xf numFmtId="0" fontId="23" fillId="0" borderId="0" xfId="0" applyFont="1" applyFill="1" applyBorder="1" applyAlignment="1" applyProtection="1">
      <alignment vertical="center" wrapText="1"/>
      <protection hidden="1"/>
    </xf>
    <xf numFmtId="3" fontId="23" fillId="0" borderId="0" xfId="11" applyNumberFormat="1" applyFont="1" applyFill="1" applyBorder="1" applyAlignment="1" applyProtection="1">
      <alignment horizontal="right" vertical="center" wrapText="1"/>
      <protection locked="0"/>
    </xf>
    <xf numFmtId="3" fontId="23" fillId="0" borderId="0" xfId="0" applyNumberFormat="1" applyFont="1" applyFill="1" applyBorder="1" applyAlignment="1" applyProtection="1">
      <alignment horizontal="right" vertical="center" wrapText="1"/>
      <protection locked="0"/>
    </xf>
    <xf numFmtId="3" fontId="23" fillId="0" borderId="0" xfId="11" applyNumberFormat="1" applyFont="1" applyFill="1" applyBorder="1" applyAlignment="1" applyProtection="1">
      <alignment horizontal="right" vertical="center" wrapText="1"/>
    </xf>
    <xf numFmtId="0" fontId="4" fillId="5" borderId="0" xfId="0" applyFont="1" applyFill="1" applyAlignment="1" applyProtection="1">
      <alignment vertical="center"/>
      <protection hidden="1"/>
    </xf>
    <xf numFmtId="0" fontId="4" fillId="5" borderId="0" xfId="0" applyFont="1" applyFill="1" applyAlignment="1" applyProtection="1">
      <alignment horizontal="left" vertical="center"/>
      <protection hidden="1"/>
    </xf>
    <xf numFmtId="0" fontId="4" fillId="0" borderId="0" xfId="0" applyFont="1" applyAlignment="1" applyProtection="1">
      <alignment vertical="center"/>
      <protection hidden="1"/>
    </xf>
    <xf numFmtId="0" fontId="4" fillId="0" borderId="0" xfId="0" applyFont="1" applyBorder="1" applyAlignment="1" applyProtection="1">
      <alignment vertical="center"/>
      <protection hidden="1"/>
    </xf>
    <xf numFmtId="0" fontId="4" fillId="0" borderId="0" xfId="0" applyFont="1" applyBorder="1" applyAlignment="1" applyProtection="1">
      <alignment vertical="center" wrapText="1"/>
      <protection hidden="1"/>
    </xf>
    <xf numFmtId="0" fontId="4" fillId="0" borderId="0" xfId="0" applyFont="1" applyAlignment="1" applyProtection="1">
      <alignment vertical="center" wrapText="1"/>
      <protection hidden="1"/>
    </xf>
    <xf numFmtId="0" fontId="4" fillId="6" borderId="12" xfId="0" applyFont="1" applyFill="1" applyBorder="1" applyAlignment="1" applyProtection="1">
      <alignment horizontal="left" vertical="center" indent="1"/>
      <protection hidden="1"/>
    </xf>
    <xf numFmtId="0" fontId="15" fillId="6" borderId="45" xfId="0" applyFont="1" applyFill="1" applyBorder="1" applyAlignment="1" applyProtection="1">
      <alignment horizontal="center" vertical="center" wrapText="1"/>
      <protection hidden="1"/>
    </xf>
    <xf numFmtId="0" fontId="4" fillId="0" borderId="0" xfId="0" applyFont="1" applyAlignment="1" applyProtection="1">
      <alignment horizontal="center" vertical="center" wrapText="1"/>
      <protection hidden="1"/>
    </xf>
    <xf numFmtId="0" fontId="15" fillId="6" borderId="40" xfId="0" applyFont="1" applyFill="1" applyBorder="1" applyAlignment="1" applyProtection="1">
      <alignment horizontal="center" vertical="center" wrapText="1"/>
      <protection hidden="1"/>
    </xf>
    <xf numFmtId="0" fontId="15" fillId="6" borderId="5" xfId="0" applyFont="1" applyFill="1" applyBorder="1" applyAlignment="1" applyProtection="1">
      <alignment horizontal="center" vertical="center" wrapText="1"/>
      <protection hidden="1"/>
    </xf>
    <xf numFmtId="0" fontId="4" fillId="6" borderId="21" xfId="0" applyFont="1" applyFill="1" applyBorder="1" applyAlignment="1" applyProtection="1">
      <alignment horizontal="center" vertical="center"/>
      <protection locked="0"/>
    </xf>
    <xf numFmtId="0" fontId="4" fillId="6" borderId="13" xfId="0" applyFont="1" applyFill="1" applyBorder="1" applyAlignment="1" applyProtection="1">
      <alignment vertical="center"/>
      <protection hidden="1"/>
    </xf>
    <xf numFmtId="3" fontId="4" fillId="6" borderId="13" xfId="0" applyNumberFormat="1" applyFont="1" applyFill="1" applyBorder="1" applyAlignment="1" applyProtection="1">
      <alignment vertical="center"/>
      <protection hidden="1"/>
    </xf>
    <xf numFmtId="3" fontId="4" fillId="0" borderId="0" xfId="0" applyNumberFormat="1" applyFont="1" applyBorder="1" applyAlignment="1" applyProtection="1">
      <alignment vertical="center"/>
      <protection hidden="1"/>
    </xf>
    <xf numFmtId="0" fontId="4" fillId="6" borderId="6" xfId="0" applyFont="1" applyFill="1" applyBorder="1" applyAlignment="1" applyProtection="1">
      <alignment horizontal="center" vertical="center" wrapText="1"/>
      <protection hidden="1"/>
    </xf>
    <xf numFmtId="1" fontId="4" fillId="2" borderId="4" xfId="0" applyNumberFormat="1" applyFont="1" applyFill="1" applyBorder="1" applyAlignment="1" applyProtection="1">
      <alignment vertical="center"/>
      <protection locked="0"/>
    </xf>
    <xf numFmtId="0" fontId="4" fillId="0" borderId="0" xfId="0" applyFont="1" applyBorder="1" applyAlignment="1" applyProtection="1">
      <alignment horizontal="right" vertical="center"/>
      <protection hidden="1"/>
    </xf>
    <xf numFmtId="0" fontId="4" fillId="0" borderId="0" xfId="0" applyFont="1" applyFill="1" applyBorder="1" applyAlignment="1" applyProtection="1">
      <alignment vertical="center"/>
      <protection hidden="1"/>
    </xf>
    <xf numFmtId="3" fontId="4" fillId="0" borderId="0" xfId="0" applyNumberFormat="1" applyFont="1" applyFill="1" applyBorder="1" applyAlignment="1" applyProtection="1">
      <alignment horizontal="right" vertical="center"/>
      <protection hidden="1"/>
    </xf>
    <xf numFmtId="0" fontId="30" fillId="0" borderId="0" xfId="0" applyFont="1" applyAlignment="1" applyProtection="1">
      <alignment vertical="center"/>
      <protection hidden="1"/>
    </xf>
    <xf numFmtId="0" fontId="4" fillId="6" borderId="11" xfId="0" applyFont="1" applyFill="1" applyBorder="1" applyAlignment="1" applyProtection="1">
      <alignment vertical="center"/>
      <protection hidden="1"/>
    </xf>
    <xf numFmtId="0" fontId="30" fillId="0" borderId="0" xfId="0" applyFont="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21" fillId="0" borderId="23" xfId="0" applyFont="1" applyBorder="1" applyAlignment="1" applyProtection="1">
      <alignment horizontal="center" vertical="center" wrapText="1"/>
      <protection hidden="1"/>
    </xf>
    <xf numFmtId="0" fontId="4" fillId="0" borderId="0" xfId="0" applyFont="1" applyFill="1" applyBorder="1" applyAlignment="1" applyProtection="1">
      <alignment horizontal="left" vertical="center"/>
      <protection hidden="1"/>
    </xf>
    <xf numFmtId="0" fontId="3" fillId="6" borderId="38" xfId="0" applyFont="1" applyFill="1" applyBorder="1" applyAlignment="1" applyProtection="1">
      <alignment horizontal="center" vertical="center" wrapText="1"/>
      <protection hidden="1"/>
    </xf>
    <xf numFmtId="0" fontId="3" fillId="6" borderId="14" xfId="0" applyFont="1" applyFill="1" applyBorder="1" applyAlignment="1" applyProtection="1">
      <alignment horizontal="center" vertical="center" wrapText="1"/>
      <protection hidden="1"/>
    </xf>
    <xf numFmtId="0" fontId="15" fillId="6" borderId="21" xfId="0" applyFont="1" applyFill="1" applyBorder="1" applyAlignment="1" applyProtection="1">
      <alignment horizontal="center" vertical="center" wrapText="1"/>
      <protection hidden="1"/>
    </xf>
    <xf numFmtId="0" fontId="4" fillId="6" borderId="0" xfId="0" applyFont="1" applyFill="1" applyBorder="1" applyAlignment="1" applyProtection="1">
      <alignment horizontal="center" vertical="center"/>
      <protection locked="0"/>
    </xf>
    <xf numFmtId="0" fontId="21" fillId="6" borderId="13" xfId="0" applyFont="1" applyFill="1" applyBorder="1" applyAlignment="1" applyProtection="1">
      <alignment vertical="center"/>
      <protection hidden="1"/>
    </xf>
    <xf numFmtId="0" fontId="3" fillId="6" borderId="40" xfId="0" applyFont="1" applyFill="1" applyBorder="1" applyAlignment="1" applyProtection="1">
      <alignment horizontal="center" vertical="center" wrapText="1"/>
      <protection hidden="1"/>
    </xf>
    <xf numFmtId="0" fontId="3" fillId="6" borderId="45" xfId="0" applyFont="1" applyFill="1" applyBorder="1" applyAlignment="1" applyProtection="1">
      <alignment horizontal="center" vertical="center" wrapText="1"/>
      <protection hidden="1"/>
    </xf>
    <xf numFmtId="0" fontId="4" fillId="2" borderId="14" xfId="0" applyFont="1" applyFill="1" applyBorder="1" applyAlignment="1" applyProtection="1">
      <alignment horizontal="center" vertical="center" wrapText="1"/>
      <protection hidden="1"/>
    </xf>
    <xf numFmtId="0" fontId="4" fillId="2" borderId="21" xfId="0" applyFont="1" applyFill="1" applyBorder="1" applyAlignment="1" applyProtection="1">
      <alignment horizontal="center" vertical="center" wrapText="1"/>
      <protection hidden="1"/>
    </xf>
    <xf numFmtId="0" fontId="4" fillId="2" borderId="21" xfId="0" applyFont="1" applyFill="1" applyBorder="1" applyAlignment="1" applyProtection="1">
      <alignment horizontal="right" vertical="center"/>
      <protection hidden="1"/>
    </xf>
    <xf numFmtId="0" fontId="4" fillId="2" borderId="15" xfId="0" applyFont="1" applyFill="1" applyBorder="1" applyAlignment="1" applyProtection="1">
      <alignment horizontal="right" vertical="center"/>
      <protection hidden="1"/>
    </xf>
    <xf numFmtId="0" fontId="4" fillId="6" borderId="13" xfId="0" applyFont="1" applyFill="1" applyBorder="1" applyAlignment="1" applyProtection="1">
      <alignment horizontal="left" vertical="center"/>
      <protection hidden="1"/>
    </xf>
    <xf numFmtId="0" fontId="3" fillId="6" borderId="6" xfId="0" applyFont="1" applyFill="1" applyBorder="1" applyAlignment="1" applyProtection="1">
      <alignment horizontal="center" vertical="center" wrapText="1"/>
      <protection hidden="1"/>
    </xf>
    <xf numFmtId="0" fontId="36" fillId="0" borderId="0" xfId="0" applyFont="1" applyAlignment="1" applyProtection="1">
      <alignment vertical="center"/>
      <protection hidden="1"/>
    </xf>
    <xf numFmtId="0" fontId="4" fillId="6" borderId="15" xfId="0" applyFont="1" applyFill="1" applyBorder="1" applyAlignment="1" applyProtection="1">
      <alignment vertical="center"/>
      <protection hidden="1"/>
    </xf>
    <xf numFmtId="0" fontId="3" fillId="2" borderId="14" xfId="0" applyFont="1" applyFill="1" applyBorder="1" applyAlignment="1" applyProtection="1">
      <alignment horizontal="center" vertical="center"/>
      <protection hidden="1"/>
    </xf>
    <xf numFmtId="0" fontId="3" fillId="6" borderId="46" xfId="0" applyFont="1" applyFill="1" applyBorder="1" applyAlignment="1" applyProtection="1">
      <alignment horizontal="center" vertical="center" wrapText="1"/>
      <protection hidden="1"/>
    </xf>
    <xf numFmtId="0" fontId="3" fillId="6" borderId="33" xfId="0" applyFont="1" applyFill="1" applyBorder="1" applyAlignment="1" applyProtection="1">
      <alignment horizontal="center" vertical="center" wrapText="1"/>
      <protection hidden="1"/>
    </xf>
    <xf numFmtId="0" fontId="3" fillId="6" borderId="34" xfId="0" applyFont="1" applyFill="1" applyBorder="1" applyAlignment="1" applyProtection="1">
      <alignment horizontal="center" vertical="center" wrapText="1"/>
      <protection hidden="1"/>
    </xf>
    <xf numFmtId="0" fontId="3" fillId="6" borderId="14" xfId="0" applyFont="1" applyFill="1" applyBorder="1" applyAlignment="1" applyProtection="1">
      <alignment horizontal="center" vertical="center"/>
      <protection hidden="1"/>
    </xf>
    <xf numFmtId="0" fontId="3" fillId="6" borderId="21" xfId="0"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0" fontId="3" fillId="2" borderId="4" xfId="0" applyFont="1" applyFill="1" applyBorder="1" applyAlignment="1" applyProtection="1">
      <alignment horizontal="center" vertical="center" wrapText="1"/>
      <protection hidden="1"/>
    </xf>
    <xf numFmtId="0" fontId="3" fillId="6" borderId="3" xfId="0" applyFont="1" applyFill="1" applyBorder="1" applyAlignment="1" applyProtection="1">
      <alignment horizontal="center" vertical="center"/>
      <protection hidden="1"/>
    </xf>
    <xf numFmtId="0" fontId="3" fillId="2" borderId="51" xfId="0" applyFont="1" applyFill="1" applyBorder="1" applyAlignment="1" applyProtection="1">
      <alignment horizontal="center" vertical="center" wrapText="1"/>
      <protection hidden="1"/>
    </xf>
    <xf numFmtId="0" fontId="3" fillId="2" borderId="52" xfId="0" applyFont="1" applyFill="1" applyBorder="1" applyAlignment="1" applyProtection="1">
      <alignment horizontal="center" vertical="center" wrapText="1"/>
      <protection hidden="1"/>
    </xf>
    <xf numFmtId="0" fontId="15" fillId="2" borderId="39" xfId="0" applyFont="1" applyFill="1" applyBorder="1" applyAlignment="1" applyProtection="1">
      <alignment horizontal="center" vertical="center" wrapText="1"/>
      <protection hidden="1"/>
    </xf>
    <xf numFmtId="0" fontId="15" fillId="2" borderId="40" xfId="5" applyFont="1" applyFill="1" applyBorder="1" applyAlignment="1" applyProtection="1">
      <alignment horizontal="center" vertical="center" wrapText="1"/>
      <protection hidden="1"/>
    </xf>
    <xf numFmtId="0" fontId="15" fillId="2" borderId="46" xfId="0" applyFont="1" applyFill="1" applyBorder="1" applyAlignment="1" applyProtection="1">
      <alignment horizontal="center" vertical="center" wrapText="1"/>
      <protection hidden="1"/>
    </xf>
    <xf numFmtId="0" fontId="15" fillId="2" borderId="38" xfId="0" applyFont="1" applyFill="1" applyBorder="1" applyAlignment="1" applyProtection="1">
      <alignment horizontal="center" vertical="center" wrapText="1"/>
      <protection hidden="1"/>
    </xf>
    <xf numFmtId="0" fontId="16" fillId="4" borderId="30" xfId="5" applyNumberFormat="1" applyFont="1" applyFill="1" applyBorder="1" applyAlignment="1" applyProtection="1">
      <alignment vertical="center"/>
      <protection hidden="1"/>
    </xf>
    <xf numFmtId="10" fontId="16" fillId="3" borderId="27" xfId="5" applyNumberFormat="1" applyFont="1" applyFill="1" applyBorder="1" applyAlignment="1" applyProtection="1">
      <alignment horizontal="center" vertical="center"/>
      <protection locked="0"/>
    </xf>
    <xf numFmtId="10" fontId="28" fillId="4" borderId="6" xfId="3" applyNumberFormat="1" applyFont="1" applyFill="1" applyBorder="1" applyAlignment="1" applyProtection="1">
      <alignment horizontal="center" vertical="center"/>
    </xf>
    <xf numFmtId="10" fontId="16" fillId="4" borderId="6" xfId="3" applyNumberFormat="1" applyFont="1" applyFill="1" applyBorder="1" applyAlignment="1" applyProtection="1">
      <alignment horizontal="center" vertical="center"/>
    </xf>
    <xf numFmtId="0" fontId="20" fillId="2" borderId="12" xfId="0" applyFont="1" applyFill="1" applyBorder="1" applyAlignment="1" applyProtection="1">
      <alignment vertical="center" wrapText="1"/>
      <protection hidden="1"/>
    </xf>
    <xf numFmtId="0" fontId="20" fillId="2" borderId="13" xfId="0" applyFont="1" applyFill="1" applyBorder="1" applyAlignment="1" applyProtection="1">
      <alignment vertical="center" wrapText="1"/>
      <protection hidden="1"/>
    </xf>
    <xf numFmtId="0" fontId="4" fillId="0" borderId="0" xfId="0" applyFont="1" applyFill="1" applyBorder="1" applyAlignment="1" applyProtection="1">
      <alignment vertical="center" wrapText="1"/>
      <protection hidden="1"/>
    </xf>
    <xf numFmtId="0" fontId="20" fillId="0" borderId="4" xfId="0" applyFont="1" applyFill="1" applyBorder="1" applyAlignment="1" applyProtection="1">
      <alignment horizontal="center" vertical="center" wrapText="1"/>
      <protection hidden="1"/>
    </xf>
    <xf numFmtId="0" fontId="4" fillId="0" borderId="4" xfId="0" applyFont="1" applyFill="1" applyBorder="1" applyAlignment="1" applyProtection="1">
      <alignment horizontal="left" vertical="center" indent="1"/>
      <protection hidden="1"/>
    </xf>
    <xf numFmtId="0" fontId="15" fillId="0" borderId="0" xfId="0" applyFont="1" applyFill="1" applyBorder="1" applyAlignment="1" applyProtection="1">
      <alignment horizontal="left" vertical="center"/>
      <protection hidden="1"/>
    </xf>
    <xf numFmtId="0" fontId="10" fillId="3" borderId="0" xfId="1" applyFill="1" applyBorder="1" applyProtection="1"/>
    <xf numFmtId="0" fontId="0" fillId="3" borderId="0" xfId="0" applyFill="1" applyBorder="1" applyProtection="1"/>
    <xf numFmtId="0" fontId="0" fillId="3" borderId="0" xfId="0" applyFill="1" applyBorder="1" applyAlignment="1" applyProtection="1">
      <alignment horizontal="left"/>
    </xf>
    <xf numFmtId="0" fontId="5" fillId="4" borderId="1" xfId="0" applyFont="1" applyFill="1" applyBorder="1" applyProtection="1"/>
    <xf numFmtId="0" fontId="12" fillId="4" borderId="2" xfId="0" applyFont="1" applyFill="1" applyBorder="1" applyAlignment="1" applyProtection="1"/>
    <xf numFmtId="0" fontId="0" fillId="4" borderId="2" xfId="0" applyFill="1" applyBorder="1" applyProtection="1"/>
    <xf numFmtId="0" fontId="12" fillId="4" borderId="3" xfId="0" applyFont="1" applyFill="1" applyBorder="1" applyAlignment="1" applyProtection="1"/>
    <xf numFmtId="0" fontId="10" fillId="4" borderId="4" xfId="1" applyFill="1" applyBorder="1" applyProtection="1"/>
    <xf numFmtId="0" fontId="10" fillId="4" borderId="0" xfId="1" applyFill="1" applyBorder="1" applyProtection="1"/>
    <xf numFmtId="0" fontId="0" fillId="4" borderId="0" xfId="0" applyFill="1" applyBorder="1" applyProtection="1"/>
    <xf numFmtId="0" fontId="10" fillId="4" borderId="5" xfId="1" applyFill="1" applyBorder="1" applyProtection="1"/>
    <xf numFmtId="0" fontId="14" fillId="4" borderId="0" xfId="1" applyFont="1" applyFill="1" applyBorder="1" applyAlignment="1" applyProtection="1">
      <alignment horizontal="left" vertical="top"/>
    </xf>
    <xf numFmtId="0" fontId="16" fillId="4" borderId="0" xfId="2" applyNumberFormat="1" applyFont="1" applyFill="1" applyBorder="1" applyAlignment="1" applyProtection="1">
      <alignment vertical="top" wrapText="1"/>
    </xf>
    <xf numFmtId="0" fontId="0" fillId="4" borderId="0" xfId="0" applyFill="1" applyBorder="1" applyAlignment="1" applyProtection="1">
      <alignment horizontal="left"/>
    </xf>
    <xf numFmtId="0" fontId="10" fillId="3" borderId="0" xfId="1" applyFill="1" applyBorder="1" applyAlignment="1" applyProtection="1">
      <alignment horizontal="left"/>
    </xf>
    <xf numFmtId="0" fontId="15" fillId="4" borderId="0" xfId="2" applyNumberFormat="1" applyFont="1" applyFill="1" applyBorder="1" applyAlignment="1" applyProtection="1">
      <alignment horizontal="left" vertical="top" wrapText="1"/>
    </xf>
    <xf numFmtId="0" fontId="0" fillId="4" borderId="0" xfId="1" applyFont="1" applyFill="1" applyBorder="1" applyAlignment="1" applyProtection="1">
      <alignment horizontal="left"/>
    </xf>
    <xf numFmtId="0" fontId="10" fillId="4" borderId="0" xfId="1" applyFill="1" applyBorder="1" applyAlignment="1" applyProtection="1">
      <alignment horizontal="left"/>
    </xf>
    <xf numFmtId="0" fontId="10" fillId="4" borderId="7" xfId="1" applyFill="1" applyBorder="1" applyProtection="1"/>
    <xf numFmtId="0" fontId="18" fillId="4" borderId="8" xfId="1" applyFont="1" applyFill="1" applyBorder="1" applyProtection="1"/>
    <xf numFmtId="0" fontId="16" fillId="4" borderId="8" xfId="2" applyNumberFormat="1" applyFont="1" applyFill="1" applyBorder="1" applyAlignment="1" applyProtection="1">
      <alignment vertical="top" wrapText="1"/>
    </xf>
    <xf numFmtId="0" fontId="10" fillId="4" borderId="8" xfId="1" applyFill="1" applyBorder="1" applyProtection="1"/>
    <xf numFmtId="0" fontId="10" fillId="4" borderId="9" xfId="1" applyFill="1" applyBorder="1" applyProtection="1"/>
    <xf numFmtId="0" fontId="35" fillId="3" borderId="0" xfId="1" applyFont="1" applyFill="1" applyBorder="1" applyProtection="1"/>
    <xf numFmtId="0" fontId="35" fillId="3" borderId="13" xfId="1" applyFont="1" applyFill="1" applyBorder="1" applyProtection="1"/>
    <xf numFmtId="0" fontId="28" fillId="3" borderId="13" xfId="1" applyFont="1" applyFill="1" applyBorder="1" applyAlignment="1" applyProtection="1">
      <alignment horizontal="left" vertical="top"/>
    </xf>
    <xf numFmtId="0" fontId="15" fillId="3" borderId="13" xfId="0" applyFont="1" applyFill="1" applyBorder="1" applyProtection="1"/>
    <xf numFmtId="0" fontId="15" fillId="3" borderId="0" xfId="0" applyFont="1" applyFill="1" applyBorder="1" applyAlignment="1" applyProtection="1">
      <alignment horizontal="left"/>
    </xf>
    <xf numFmtId="0" fontId="15" fillId="3" borderId="0" xfId="0" applyFont="1" applyFill="1" applyBorder="1" applyProtection="1"/>
    <xf numFmtId="0" fontId="35" fillId="7" borderId="1" xfId="1" applyFont="1" applyFill="1" applyBorder="1" applyProtection="1"/>
    <xf numFmtId="0" fontId="15" fillId="7" borderId="2" xfId="0" applyFont="1" applyFill="1" applyBorder="1" applyProtection="1"/>
    <xf numFmtId="0" fontId="35" fillId="7" borderId="2" xfId="1" applyFont="1" applyFill="1" applyBorder="1" applyProtection="1"/>
    <xf numFmtId="0" fontId="35" fillId="7" borderId="3" xfId="1" applyFont="1" applyFill="1" applyBorder="1" applyProtection="1"/>
    <xf numFmtId="0" fontId="0" fillId="3" borderId="0" xfId="0" applyFont="1" applyFill="1" applyAlignment="1" applyProtection="1">
      <alignment horizontal="center"/>
    </xf>
    <xf numFmtId="0" fontId="35" fillId="7" borderId="4" xfId="1" applyFont="1" applyFill="1" applyBorder="1" applyProtection="1"/>
    <xf numFmtId="0" fontId="15" fillId="7" borderId="0" xfId="0" applyFont="1" applyFill="1" applyBorder="1" applyProtection="1"/>
    <xf numFmtId="0" fontId="35" fillId="7" borderId="0" xfId="1" applyFont="1" applyFill="1" applyBorder="1" applyProtection="1"/>
    <xf numFmtId="0" fontId="35" fillId="4" borderId="0" xfId="1" applyFont="1" applyFill="1" applyBorder="1" applyProtection="1"/>
    <xf numFmtId="0" fontId="35" fillId="7" borderId="5" xfId="1" applyFont="1" applyFill="1" applyBorder="1" applyProtection="1"/>
    <xf numFmtId="0" fontId="0" fillId="3" borderId="0" xfId="0" applyFill="1" applyProtection="1"/>
    <xf numFmtId="0" fontId="0" fillId="4" borderId="4" xfId="0" applyFill="1" applyBorder="1" applyProtection="1"/>
    <xf numFmtId="0" fontId="0" fillId="4" borderId="0" xfId="0" applyFill="1" applyProtection="1"/>
    <xf numFmtId="0" fontId="9" fillId="6" borderId="46" xfId="0" applyFont="1" applyFill="1" applyBorder="1" applyAlignment="1" applyProtection="1">
      <alignment horizontal="center" vertical="center" wrapText="1"/>
    </xf>
    <xf numFmtId="0" fontId="9" fillId="6" borderId="40" xfId="0" applyFont="1" applyFill="1" applyBorder="1" applyAlignment="1" applyProtection="1">
      <alignment horizontal="center" vertical="center" wrapText="1"/>
    </xf>
    <xf numFmtId="0" fontId="31" fillId="6" borderId="38" xfId="0" applyFont="1" applyFill="1" applyBorder="1" applyAlignment="1" applyProtection="1">
      <alignment horizontal="center" vertical="center" wrapText="1"/>
    </xf>
    <xf numFmtId="0" fontId="31" fillId="6" borderId="39" xfId="0" applyFont="1" applyFill="1" applyBorder="1" applyAlignment="1" applyProtection="1">
      <alignment horizontal="center" vertical="center" wrapText="1"/>
    </xf>
    <xf numFmtId="0" fontId="0" fillId="4" borderId="4" xfId="0" applyFill="1" applyBorder="1" applyAlignment="1" applyProtection="1">
      <alignment vertical="center"/>
    </xf>
    <xf numFmtId="0" fontId="9" fillId="4" borderId="36" xfId="0" applyFont="1" applyFill="1" applyBorder="1" applyAlignment="1" applyProtection="1">
      <alignment horizontal="left" vertical="center" wrapText="1" indent="1"/>
    </xf>
    <xf numFmtId="2" fontId="18" fillId="4" borderId="43" xfId="0" applyNumberFormat="1" applyFont="1" applyFill="1" applyBorder="1" applyAlignment="1" applyProtection="1">
      <alignment vertical="center" wrapText="1"/>
    </xf>
    <xf numFmtId="0" fontId="18" fillId="0" borderId="44" xfId="0" applyFont="1" applyFill="1" applyBorder="1" applyAlignment="1" applyProtection="1">
      <alignment vertical="center" wrapText="1"/>
    </xf>
    <xf numFmtId="0" fontId="0" fillId="4" borderId="0" xfId="0" applyFill="1" applyAlignment="1" applyProtection="1">
      <alignment vertical="center"/>
    </xf>
    <xf numFmtId="0" fontId="9" fillId="4" borderId="35" xfId="0" applyFont="1" applyFill="1" applyBorder="1" applyAlignment="1" applyProtection="1">
      <alignment horizontal="center" vertical="center" wrapText="1"/>
    </xf>
    <xf numFmtId="0" fontId="9" fillId="4" borderId="36" xfId="0" applyFont="1" applyFill="1" applyBorder="1" applyAlignment="1" applyProtection="1">
      <alignment horizontal="center" vertical="center" wrapText="1"/>
    </xf>
    <xf numFmtId="0" fontId="9" fillId="4" borderId="37" xfId="0" applyFont="1" applyFill="1" applyBorder="1" applyAlignment="1" applyProtection="1">
      <alignment horizontal="center" vertical="center" wrapText="1"/>
    </xf>
    <xf numFmtId="0" fontId="0" fillId="3" borderId="0" xfId="0" applyFill="1" applyAlignment="1" applyProtection="1">
      <alignment vertical="center"/>
    </xf>
    <xf numFmtId="0" fontId="9" fillId="4" borderId="10" xfId="0" applyFont="1" applyFill="1" applyBorder="1" applyAlignment="1" applyProtection="1">
      <alignment horizontal="left" vertical="center" wrapText="1" indent="1"/>
    </xf>
    <xf numFmtId="2" fontId="18" fillId="4" borderId="18" xfId="0" applyNumberFormat="1" applyFont="1" applyFill="1" applyBorder="1" applyAlignment="1" applyProtection="1">
      <alignment vertical="center" wrapText="1"/>
    </xf>
    <xf numFmtId="0" fontId="18" fillId="0" borderId="19" xfId="0" applyFont="1" applyFill="1" applyBorder="1" applyAlignment="1" applyProtection="1">
      <alignment vertical="center" wrapText="1"/>
    </xf>
    <xf numFmtId="0" fontId="9" fillId="4" borderId="41" xfId="0" applyFont="1" applyFill="1" applyBorder="1" applyAlignment="1" applyProtection="1">
      <alignment horizontal="center" vertical="center" wrapText="1"/>
    </xf>
    <xf numFmtId="0" fontId="9" fillId="4" borderId="10" xfId="0" applyFont="1" applyFill="1" applyBorder="1" applyAlignment="1" applyProtection="1">
      <alignment horizontal="center" vertical="center" wrapText="1"/>
    </xf>
    <xf numFmtId="0" fontId="9" fillId="4" borderId="42" xfId="0" applyFont="1" applyFill="1" applyBorder="1" applyAlignment="1" applyProtection="1">
      <alignment horizontal="center" vertical="center" wrapText="1"/>
    </xf>
    <xf numFmtId="2" fontId="18" fillId="4" borderId="45" xfId="0" applyNumberFormat="1" applyFont="1" applyFill="1" applyBorder="1" applyAlignment="1" applyProtection="1">
      <alignment vertical="center" wrapText="1"/>
    </xf>
    <xf numFmtId="0" fontId="18" fillId="0" borderId="46" xfId="0" applyFont="1" applyFill="1" applyBorder="1" applyAlignment="1" applyProtection="1">
      <alignment vertical="center" wrapText="1"/>
    </xf>
    <xf numFmtId="0" fontId="9" fillId="4" borderId="39" xfId="0" applyFont="1" applyFill="1" applyBorder="1" applyAlignment="1" applyProtection="1">
      <alignment horizontal="center" vertical="center" wrapText="1"/>
    </xf>
    <xf numFmtId="0" fontId="9" fillId="4" borderId="40" xfId="0" applyFont="1" applyFill="1" applyBorder="1" applyAlignment="1" applyProtection="1">
      <alignment horizontal="center" vertical="center" wrapText="1"/>
    </xf>
    <xf numFmtId="0" fontId="9" fillId="4" borderId="38" xfId="0" applyFont="1" applyFill="1" applyBorder="1" applyAlignment="1" applyProtection="1">
      <alignment horizontal="center" vertical="center" wrapText="1"/>
    </xf>
    <xf numFmtId="0" fontId="0" fillId="4" borderId="7" xfId="0" applyFill="1" applyBorder="1" applyProtection="1"/>
    <xf numFmtId="0" fontId="0" fillId="4" borderId="8" xfId="0" applyFill="1" applyBorder="1" applyProtection="1"/>
    <xf numFmtId="0" fontId="35" fillId="7" borderId="9" xfId="1" applyFont="1" applyFill="1" applyBorder="1" applyProtection="1"/>
    <xf numFmtId="0" fontId="0" fillId="3" borderId="23" xfId="0" applyFill="1" applyBorder="1" applyAlignment="1" applyProtection="1">
      <alignment horizontal="center" vertical="center"/>
    </xf>
    <xf numFmtId="0" fontId="0" fillId="3" borderId="0" xfId="0" applyFill="1" applyBorder="1" applyAlignment="1" applyProtection="1">
      <alignment horizontal="left" vertical="center"/>
    </xf>
    <xf numFmtId="0" fontId="0" fillId="3" borderId="23" xfId="0" applyFill="1" applyBorder="1" applyProtection="1"/>
    <xf numFmtId="0" fontId="19" fillId="3" borderId="23" xfId="0" applyFont="1" applyFill="1" applyBorder="1" applyAlignment="1" applyProtection="1">
      <alignment horizontal="left" vertical="top"/>
    </xf>
    <xf numFmtId="0" fontId="19" fillId="3" borderId="23" xfId="0" applyFont="1" applyFill="1" applyBorder="1" applyAlignment="1" applyProtection="1">
      <alignment horizontal="left" wrapText="1"/>
    </xf>
    <xf numFmtId="0" fontId="9" fillId="3" borderId="23" xfId="0" applyFont="1" applyFill="1" applyBorder="1" applyAlignment="1" applyProtection="1">
      <alignment horizontal="left" wrapText="1"/>
    </xf>
    <xf numFmtId="0" fontId="18" fillId="4" borderId="23" xfId="0" applyFont="1" applyFill="1" applyBorder="1" applyAlignment="1" applyProtection="1">
      <alignment horizontal="left" vertical="center" wrapText="1"/>
    </xf>
    <xf numFmtId="0" fontId="6" fillId="3" borderId="0" xfId="0" applyFont="1" applyFill="1" applyBorder="1" applyAlignment="1" applyProtection="1"/>
    <xf numFmtId="0" fontId="7" fillId="3" borderId="0" xfId="0" applyFont="1" applyFill="1" applyAlignment="1" applyProtection="1">
      <alignment vertical="top" wrapText="1"/>
    </xf>
    <xf numFmtId="0" fontId="8" fillId="3" borderId="0" xfId="0" applyFont="1" applyFill="1" applyAlignment="1" applyProtection="1">
      <alignment vertical="top" wrapText="1"/>
    </xf>
    <xf numFmtId="0" fontId="18" fillId="3" borderId="0" xfId="0" applyFont="1" applyFill="1" applyProtection="1"/>
    <xf numFmtId="0" fontId="18" fillId="3" borderId="26" xfId="0" applyFont="1" applyFill="1" applyBorder="1" applyAlignment="1" applyProtection="1">
      <alignment horizontal="left" vertical="center" wrapText="1"/>
    </xf>
    <xf numFmtId="0" fontId="0" fillId="4" borderId="10" xfId="0" applyFill="1" applyBorder="1" applyAlignment="1" applyProtection="1">
      <alignment horizontal="center" vertical="center"/>
      <protection locked="0"/>
    </xf>
    <xf numFmtId="0" fontId="0" fillId="4" borderId="0" xfId="0" applyFont="1" applyFill="1" applyProtection="1"/>
    <xf numFmtId="3" fontId="18" fillId="3" borderId="35" xfId="11" applyNumberFormat="1" applyFont="1" applyFill="1" applyBorder="1" applyAlignment="1" applyProtection="1">
      <alignment horizontal="center" vertical="center"/>
      <protection locked="0"/>
    </xf>
    <xf numFmtId="3" fontId="18" fillId="3" borderId="36" xfId="11" applyNumberFormat="1" applyFont="1" applyFill="1" applyBorder="1" applyAlignment="1" applyProtection="1">
      <alignment horizontal="center" vertical="center"/>
      <protection locked="0"/>
    </xf>
    <xf numFmtId="3" fontId="18" fillId="3" borderId="37" xfId="11" applyNumberFormat="1" applyFont="1" applyFill="1" applyBorder="1" applyAlignment="1" applyProtection="1">
      <alignment horizontal="center" vertical="center"/>
      <protection locked="0"/>
    </xf>
    <xf numFmtId="3" fontId="18" fillId="4" borderId="41" xfId="11" applyNumberFormat="1" applyFont="1" applyFill="1" applyBorder="1" applyAlignment="1" applyProtection="1">
      <alignment horizontal="center" vertical="center"/>
      <protection locked="0"/>
    </xf>
    <xf numFmtId="3" fontId="18" fillId="4" borderId="10" xfId="11" applyNumberFormat="1" applyFont="1" applyFill="1" applyBorder="1" applyAlignment="1" applyProtection="1">
      <alignment horizontal="center" vertical="center"/>
      <protection locked="0"/>
    </xf>
    <xf numFmtId="3" fontId="18" fillId="4" borderId="42" xfId="11" applyNumberFormat="1" applyFont="1" applyFill="1" applyBorder="1" applyAlignment="1" applyProtection="1">
      <alignment horizontal="center" vertical="center"/>
      <protection locked="0"/>
    </xf>
    <xf numFmtId="3" fontId="18" fillId="4" borderId="38" xfId="11" applyNumberFormat="1" applyFont="1" applyFill="1" applyBorder="1" applyAlignment="1" applyProtection="1">
      <alignment horizontal="center" vertical="center"/>
      <protection locked="0"/>
    </xf>
    <xf numFmtId="3" fontId="18" fillId="4" borderId="39" xfId="11" applyNumberFormat="1" applyFont="1" applyFill="1" applyBorder="1" applyAlignment="1" applyProtection="1">
      <alignment horizontal="center" vertical="center"/>
      <protection locked="0"/>
    </xf>
    <xf numFmtId="3" fontId="18" fillId="4" borderId="40" xfId="11" applyNumberFormat="1" applyFont="1" applyFill="1" applyBorder="1" applyAlignment="1" applyProtection="1">
      <alignment horizontal="center" vertical="center"/>
      <protection locked="0"/>
    </xf>
    <xf numFmtId="9" fontId="18" fillId="3" borderId="6" xfId="0" applyNumberFormat="1" applyFont="1" applyFill="1" applyBorder="1" applyAlignment="1" applyProtection="1">
      <alignment horizontal="right" vertical="center"/>
      <protection locked="0"/>
    </xf>
    <xf numFmtId="0" fontId="18" fillId="3" borderId="6" xfId="0" applyFont="1" applyFill="1" applyBorder="1" applyAlignment="1" applyProtection="1">
      <alignment horizontal="right" vertical="center"/>
      <protection locked="0"/>
    </xf>
    <xf numFmtId="0" fontId="18" fillId="4" borderId="35" xfId="0" applyFont="1" applyFill="1" applyBorder="1" applyAlignment="1" applyProtection="1">
      <alignment horizontal="left" vertical="center"/>
    </xf>
    <xf numFmtId="0" fontId="18" fillId="4" borderId="36" xfId="0" applyFont="1" applyFill="1" applyBorder="1" applyAlignment="1" applyProtection="1">
      <alignment horizontal="left" vertical="center"/>
    </xf>
    <xf numFmtId="2" fontId="18" fillId="0" borderId="36" xfId="0" applyNumberFormat="1" applyFont="1" applyBorder="1" applyAlignment="1" applyProtection="1">
      <alignment horizontal="right" vertical="center"/>
    </xf>
    <xf numFmtId="0" fontId="18" fillId="3" borderId="43" xfId="0" applyFont="1" applyFill="1" applyBorder="1" applyAlignment="1" applyProtection="1">
      <alignment horizontal="center" vertical="center"/>
      <protection locked="0"/>
    </xf>
    <xf numFmtId="0" fontId="18" fillId="4" borderId="41" xfId="0" applyFont="1" applyFill="1" applyBorder="1" applyAlignment="1" applyProtection="1">
      <alignment horizontal="left" vertical="center"/>
    </xf>
    <xf numFmtId="0" fontId="18" fillId="4" borderId="10" xfId="0" applyFont="1" applyFill="1" applyBorder="1" applyAlignment="1" applyProtection="1">
      <alignment horizontal="left" vertical="center"/>
    </xf>
    <xf numFmtId="2" fontId="18" fillId="0" borderId="10" xfId="0" applyNumberFormat="1" applyFont="1" applyBorder="1" applyAlignment="1" applyProtection="1">
      <alignment horizontal="right" vertical="center"/>
    </xf>
    <xf numFmtId="0" fontId="18" fillId="3" borderId="18" xfId="0" applyFont="1" applyFill="1" applyBorder="1" applyAlignment="1" applyProtection="1">
      <alignment horizontal="center" vertical="center"/>
      <protection locked="0"/>
    </xf>
    <xf numFmtId="0" fontId="18" fillId="4" borderId="38" xfId="0" applyFont="1" applyFill="1" applyBorder="1" applyAlignment="1" applyProtection="1">
      <alignment horizontal="left" vertical="center"/>
    </xf>
    <xf numFmtId="0" fontId="18" fillId="4" borderId="39" xfId="0" applyFont="1" applyFill="1" applyBorder="1" applyAlignment="1" applyProtection="1">
      <alignment horizontal="left" vertical="center"/>
    </xf>
    <xf numFmtId="2" fontId="18" fillId="0" borderId="39" xfId="0" applyNumberFormat="1" applyFont="1" applyBorder="1" applyAlignment="1" applyProtection="1">
      <alignment horizontal="right" vertical="center"/>
    </xf>
    <xf numFmtId="0" fontId="18" fillId="3" borderId="45" xfId="0" applyFont="1" applyFill="1" applyBorder="1" applyAlignment="1" applyProtection="1">
      <alignment horizontal="center" vertical="center"/>
      <protection locked="0"/>
    </xf>
    <xf numFmtId="0" fontId="16" fillId="3" borderId="35" xfId="0" applyFont="1" applyFill="1" applyBorder="1" applyAlignment="1" applyProtection="1">
      <alignment horizontal="center" vertical="center"/>
      <protection locked="0"/>
    </xf>
    <xf numFmtId="0" fontId="16" fillId="3" borderId="41" xfId="0" applyFont="1" applyFill="1" applyBorder="1" applyAlignment="1" applyProtection="1">
      <alignment horizontal="center" vertical="center"/>
      <protection locked="0"/>
    </xf>
    <xf numFmtId="0" fontId="16" fillId="3" borderId="38" xfId="0" applyFont="1" applyFill="1" applyBorder="1" applyAlignment="1" applyProtection="1">
      <alignment horizontal="center" vertical="center"/>
      <protection locked="0"/>
    </xf>
    <xf numFmtId="2" fontId="18" fillId="0" borderId="6" xfId="0" applyNumberFormat="1" applyFont="1" applyFill="1" applyBorder="1" applyAlignment="1" applyProtection="1">
      <alignment horizontal="right" vertical="center" wrapText="1"/>
    </xf>
    <xf numFmtId="0" fontId="18" fillId="3" borderId="6" xfId="0" applyFont="1" applyFill="1" applyBorder="1" applyAlignment="1" applyProtection="1">
      <alignment horizontal="right" vertical="center" wrapText="1"/>
      <protection locked="0"/>
    </xf>
    <xf numFmtId="0" fontId="18" fillId="3" borderId="35" xfId="0" applyFont="1" applyFill="1" applyBorder="1" applyAlignment="1" applyProtection="1">
      <alignment horizontal="left" vertical="center"/>
      <protection locked="0"/>
    </xf>
    <xf numFmtId="0" fontId="16" fillId="0" borderId="36" xfId="0" applyFont="1" applyBorder="1" applyAlignment="1" applyProtection="1">
      <alignment vertical="center"/>
    </xf>
    <xf numFmtId="0" fontId="18" fillId="3" borderId="36" xfId="0" applyFont="1" applyFill="1" applyBorder="1" applyAlignment="1" applyProtection="1">
      <alignment horizontal="left" vertical="center" wrapText="1"/>
      <protection locked="0"/>
    </xf>
    <xf numFmtId="0" fontId="18" fillId="3" borderId="36" xfId="0" applyFont="1" applyFill="1" applyBorder="1" applyAlignment="1" applyProtection="1">
      <alignment vertical="center"/>
      <protection locked="0"/>
    </xf>
    <xf numFmtId="1" fontId="18" fillId="3" borderId="37" xfId="0" applyNumberFormat="1" applyFont="1" applyFill="1" applyBorder="1" applyAlignment="1" applyProtection="1">
      <alignment vertical="center"/>
      <protection locked="0"/>
    </xf>
    <xf numFmtId="0" fontId="18" fillId="3" borderId="41" xfId="0" applyFont="1" applyFill="1" applyBorder="1" applyAlignment="1" applyProtection="1">
      <alignment horizontal="left" vertical="center"/>
      <protection locked="0"/>
    </xf>
    <xf numFmtId="0" fontId="16" fillId="0" borderId="10" xfId="0" applyFont="1" applyBorder="1" applyAlignment="1" applyProtection="1">
      <alignment vertical="center"/>
    </xf>
    <xf numFmtId="0" fontId="18" fillId="3" borderId="10" xfId="0" applyFont="1" applyFill="1" applyBorder="1" applyAlignment="1" applyProtection="1">
      <alignment horizontal="left" vertical="center" wrapText="1"/>
      <protection locked="0"/>
    </xf>
    <xf numFmtId="0" fontId="18" fillId="3" borderId="10" xfId="0" applyFont="1" applyFill="1" applyBorder="1" applyAlignment="1" applyProtection="1">
      <alignment vertical="center"/>
      <protection locked="0"/>
    </xf>
    <xf numFmtId="1" fontId="18" fillId="3" borderId="42" xfId="0" applyNumberFormat="1" applyFont="1" applyFill="1" applyBorder="1" applyAlignment="1" applyProtection="1">
      <alignment vertical="center"/>
      <protection locked="0"/>
    </xf>
    <xf numFmtId="0" fontId="18" fillId="3" borderId="38" xfId="0" applyFont="1" applyFill="1" applyBorder="1" applyAlignment="1" applyProtection="1">
      <alignment horizontal="left" vertical="center"/>
      <protection locked="0"/>
    </xf>
    <xf numFmtId="0" fontId="16" fillId="0" borderId="39" xfId="0" applyFont="1" applyBorder="1" applyAlignment="1" applyProtection="1">
      <alignment vertical="center"/>
    </xf>
    <xf numFmtId="0" fontId="18" fillId="3" borderId="39" xfId="0" applyFont="1" applyFill="1" applyBorder="1" applyAlignment="1" applyProtection="1">
      <alignment horizontal="left" vertical="center" wrapText="1"/>
      <protection locked="0"/>
    </xf>
    <xf numFmtId="0" fontId="18" fillId="3" borderId="39" xfId="0" applyFont="1" applyFill="1" applyBorder="1" applyAlignment="1" applyProtection="1">
      <alignment vertical="center"/>
      <protection locked="0"/>
    </xf>
    <xf numFmtId="1" fontId="18" fillId="3" borderId="40" xfId="0" applyNumberFormat="1" applyFont="1" applyFill="1" applyBorder="1" applyAlignment="1" applyProtection="1">
      <alignment vertical="center"/>
      <protection locked="0"/>
    </xf>
    <xf numFmtId="0" fontId="18" fillId="0" borderId="41" xfId="0" applyFont="1" applyBorder="1" applyAlignment="1" applyProtection="1">
      <alignment horizontal="center" vertical="center"/>
    </xf>
    <xf numFmtId="0" fontId="16" fillId="0" borderId="44" xfId="0" applyFont="1" applyBorder="1" applyAlignment="1" applyProtection="1">
      <alignment horizontal="center" vertical="center"/>
    </xf>
    <xf numFmtId="0" fontId="16" fillId="0" borderId="35" xfId="0" applyFont="1" applyBorder="1" applyAlignment="1" applyProtection="1">
      <alignment horizontal="center" vertical="center"/>
    </xf>
    <xf numFmtId="0" fontId="16" fillId="0" borderId="19" xfId="0" applyFont="1" applyBorder="1" applyAlignment="1" applyProtection="1">
      <alignment horizontal="center" vertical="center"/>
    </xf>
    <xf numFmtId="0" fontId="16" fillId="0" borderId="41" xfId="0" applyFont="1" applyBorder="1" applyAlignment="1" applyProtection="1">
      <alignment horizontal="center" vertical="center"/>
    </xf>
    <xf numFmtId="0" fontId="18" fillId="0" borderId="38" xfId="0" applyFont="1" applyBorder="1" applyAlignment="1" applyProtection="1">
      <alignment horizontal="center" vertical="center"/>
    </xf>
    <xf numFmtId="0" fontId="16" fillId="0" borderId="46" xfId="0" applyFont="1" applyBorder="1" applyAlignment="1" applyProtection="1">
      <alignment horizontal="center" vertical="center"/>
    </xf>
    <xf numFmtId="0" fontId="16" fillId="0" borderId="38" xfId="0" applyFont="1" applyBorder="1" applyAlignment="1" applyProtection="1">
      <alignment horizontal="center" vertical="center"/>
    </xf>
    <xf numFmtId="1" fontId="18" fillId="2" borderId="4" xfId="0" applyNumberFormat="1" applyFont="1" applyFill="1" applyBorder="1" applyAlignment="1" applyProtection="1">
      <alignment vertical="center"/>
      <protection locked="0"/>
    </xf>
    <xf numFmtId="0" fontId="16" fillId="0" borderId="35" xfId="0" applyFont="1" applyBorder="1" applyAlignment="1" applyProtection="1">
      <alignment horizontal="left" vertical="center"/>
    </xf>
    <xf numFmtId="0" fontId="16" fillId="0" borderId="36" xfId="0" applyFont="1" applyBorder="1" applyAlignment="1" applyProtection="1">
      <alignment horizontal="right" vertical="center"/>
    </xf>
    <xf numFmtId="0" fontId="16" fillId="3" borderId="37" xfId="0" applyFont="1" applyFill="1" applyBorder="1" applyAlignment="1" applyProtection="1">
      <alignment horizontal="center" vertical="center"/>
      <protection locked="0"/>
    </xf>
    <xf numFmtId="0" fontId="16" fillId="0" borderId="41" xfId="0" applyFont="1" applyBorder="1" applyAlignment="1" applyProtection="1">
      <alignment horizontal="left" vertical="center"/>
    </xf>
    <xf numFmtId="0" fontId="16" fillId="0" borderId="10" xfId="0" applyFont="1" applyBorder="1" applyAlignment="1" applyProtection="1">
      <alignment horizontal="right" vertical="center"/>
    </xf>
    <xf numFmtId="0" fontId="16" fillId="3" borderId="42" xfId="0" applyFont="1" applyFill="1" applyBorder="1" applyAlignment="1" applyProtection="1">
      <alignment horizontal="center" vertical="center"/>
      <protection locked="0"/>
    </xf>
    <xf numFmtId="0" fontId="16" fillId="0" borderId="38" xfId="0" applyFont="1" applyBorder="1" applyAlignment="1" applyProtection="1">
      <alignment horizontal="left" vertical="center"/>
    </xf>
    <xf numFmtId="0" fontId="16" fillId="0" borderId="39" xfId="0" applyFont="1" applyBorder="1" applyAlignment="1" applyProtection="1">
      <alignment horizontal="right" vertical="center"/>
    </xf>
    <xf numFmtId="0" fontId="16" fillId="3" borderId="40" xfId="0" applyFont="1" applyFill="1" applyBorder="1" applyAlignment="1" applyProtection="1">
      <alignment horizontal="center" vertical="center"/>
      <protection locked="0"/>
    </xf>
    <xf numFmtId="0" fontId="16" fillId="3" borderId="44" xfId="0" applyFont="1" applyFill="1" applyBorder="1" applyAlignment="1" applyProtection="1">
      <alignment horizontal="center" vertical="center"/>
      <protection locked="0"/>
    </xf>
    <xf numFmtId="0" fontId="37" fillId="6" borderId="5" xfId="0" applyFont="1" applyFill="1" applyBorder="1" applyAlignment="1" applyProtection="1">
      <alignment vertical="center"/>
      <protection hidden="1"/>
    </xf>
    <xf numFmtId="0" fontId="16" fillId="3" borderId="19" xfId="0" applyFont="1" applyFill="1" applyBorder="1" applyAlignment="1" applyProtection="1">
      <alignment horizontal="center" vertical="center"/>
      <protection locked="0"/>
    </xf>
    <xf numFmtId="0" fontId="16" fillId="3" borderId="46" xfId="0" applyFont="1" applyFill="1" applyBorder="1" applyAlignment="1" applyProtection="1">
      <alignment horizontal="center" vertical="center"/>
      <protection locked="0"/>
    </xf>
    <xf numFmtId="0" fontId="18" fillId="3" borderId="36" xfId="0" applyFont="1" applyFill="1" applyBorder="1" applyAlignment="1" applyProtection="1">
      <alignment horizontal="right" vertical="center"/>
      <protection locked="0"/>
    </xf>
    <xf numFmtId="1" fontId="18" fillId="3" borderId="36" xfId="0" applyNumberFormat="1" applyFont="1" applyFill="1" applyBorder="1" applyAlignment="1" applyProtection="1">
      <alignment horizontal="right" vertical="center"/>
      <protection locked="0"/>
    </xf>
    <xf numFmtId="0" fontId="18" fillId="3" borderId="36" xfId="0" applyFont="1" applyFill="1" applyBorder="1" applyAlignment="1" applyProtection="1">
      <alignment horizontal="left" vertical="center"/>
      <protection locked="0"/>
    </xf>
    <xf numFmtId="0" fontId="18" fillId="0" borderId="36" xfId="0" applyFont="1" applyBorder="1" applyAlignment="1" applyProtection="1">
      <alignment horizontal="right" vertical="center"/>
    </xf>
    <xf numFmtId="0" fontId="18" fillId="0" borderId="37" xfId="0" applyFont="1" applyBorder="1" applyAlignment="1" applyProtection="1">
      <alignment horizontal="right" vertical="center"/>
    </xf>
    <xf numFmtId="0" fontId="18" fillId="3" borderId="10" xfId="0" applyFont="1" applyFill="1" applyBorder="1" applyAlignment="1" applyProtection="1">
      <alignment horizontal="right" vertical="center"/>
      <protection locked="0"/>
    </xf>
    <xf numFmtId="1" fontId="18" fillId="3" borderId="10" xfId="0" applyNumberFormat="1" applyFont="1" applyFill="1" applyBorder="1" applyAlignment="1" applyProtection="1">
      <alignment horizontal="right" vertical="center"/>
      <protection locked="0"/>
    </xf>
    <xf numFmtId="0" fontId="18" fillId="3" borderId="10" xfId="0" applyFont="1" applyFill="1" applyBorder="1" applyAlignment="1" applyProtection="1">
      <alignment horizontal="left" vertical="center"/>
      <protection locked="0"/>
    </xf>
    <xf numFmtId="0" fontId="18" fillId="0" borderId="10" xfId="0" applyFont="1" applyBorder="1" applyAlignment="1" applyProtection="1">
      <alignment horizontal="right" vertical="center"/>
    </xf>
    <xf numFmtId="0" fontId="18" fillId="0" borderId="42" xfId="0" applyFont="1" applyBorder="1" applyAlignment="1" applyProtection="1">
      <alignment horizontal="right" vertical="center"/>
    </xf>
    <xf numFmtId="0" fontId="18" fillId="3" borderId="39" xfId="0" applyFont="1" applyFill="1" applyBorder="1" applyAlignment="1" applyProtection="1">
      <alignment horizontal="right" vertical="center"/>
      <protection locked="0"/>
    </xf>
    <xf numFmtId="1" fontId="18" fillId="3" borderId="39" xfId="0" applyNumberFormat="1" applyFont="1" applyFill="1" applyBorder="1" applyAlignment="1" applyProtection="1">
      <alignment horizontal="right" vertical="center"/>
      <protection locked="0"/>
    </xf>
    <xf numFmtId="0" fontId="18" fillId="3" borderId="39" xfId="0" applyFont="1" applyFill="1" applyBorder="1" applyAlignment="1" applyProtection="1">
      <alignment horizontal="left" vertical="center"/>
      <protection locked="0"/>
    </xf>
    <xf numFmtId="0" fontId="18" fillId="0" borderId="39" xfId="0" applyFont="1" applyBorder="1" applyAlignment="1" applyProtection="1">
      <alignment horizontal="right" vertical="center"/>
    </xf>
    <xf numFmtId="0" fontId="18" fillId="0" borderId="40" xfId="0" applyFont="1" applyBorder="1" applyAlignment="1" applyProtection="1">
      <alignment horizontal="right" vertical="center"/>
    </xf>
    <xf numFmtId="0" fontId="37" fillId="2" borderId="5" xfId="0" applyFont="1" applyFill="1" applyBorder="1" applyAlignment="1" applyProtection="1">
      <alignment vertical="center"/>
      <protection hidden="1"/>
    </xf>
    <xf numFmtId="4" fontId="16" fillId="0" borderId="37" xfId="0" applyNumberFormat="1" applyFont="1" applyFill="1" applyBorder="1" applyAlignment="1" applyProtection="1">
      <alignment vertical="center"/>
    </xf>
    <xf numFmtId="4" fontId="16" fillId="0" borderId="42" xfId="0" applyNumberFormat="1" applyFont="1" applyFill="1" applyBorder="1" applyAlignment="1" applyProtection="1">
      <alignment vertical="center"/>
    </xf>
    <xf numFmtId="4" fontId="16" fillId="0" borderId="40" xfId="0" applyNumberFormat="1" applyFont="1" applyFill="1" applyBorder="1" applyAlignment="1" applyProtection="1">
      <alignment vertical="center"/>
    </xf>
    <xf numFmtId="4" fontId="16" fillId="0" borderId="43" xfId="0" applyNumberFormat="1" applyFont="1" applyFill="1" applyBorder="1" applyAlignment="1" applyProtection="1">
      <alignment vertical="center"/>
    </xf>
    <xf numFmtId="4" fontId="16" fillId="0" borderId="18" xfId="0" applyNumberFormat="1" applyFont="1" applyFill="1" applyBorder="1" applyAlignment="1" applyProtection="1">
      <alignment vertical="center"/>
    </xf>
    <xf numFmtId="4" fontId="16" fillId="0" borderId="45" xfId="0" applyNumberFormat="1" applyFont="1" applyFill="1" applyBorder="1" applyAlignment="1" applyProtection="1">
      <alignment vertical="center"/>
    </xf>
    <xf numFmtId="4" fontId="16" fillId="0" borderId="58" xfId="0" applyNumberFormat="1" applyFont="1" applyFill="1" applyBorder="1" applyAlignment="1" applyProtection="1">
      <alignment vertical="center"/>
    </xf>
    <xf numFmtId="4" fontId="16" fillId="0" borderId="59" xfId="0" applyNumberFormat="1" applyFont="1" applyFill="1" applyBorder="1" applyAlignment="1" applyProtection="1">
      <alignment vertical="center"/>
    </xf>
    <xf numFmtId="4" fontId="16" fillId="0" borderId="60" xfId="0" applyNumberFormat="1" applyFont="1" applyFill="1" applyBorder="1" applyAlignment="1" applyProtection="1">
      <alignment vertical="center"/>
    </xf>
    <xf numFmtId="4" fontId="16" fillId="4" borderId="37" xfId="0" applyNumberFormat="1" applyFont="1" applyFill="1" applyBorder="1" applyAlignment="1" applyProtection="1">
      <alignment vertical="center"/>
    </xf>
    <xf numFmtId="4" fontId="16" fillId="4" borderId="42" xfId="0" applyNumberFormat="1" applyFont="1" applyFill="1" applyBorder="1" applyAlignment="1" applyProtection="1">
      <alignment vertical="center"/>
    </xf>
    <xf numFmtId="4" fontId="16" fillId="4" borderId="40" xfId="0" applyNumberFormat="1" applyFont="1" applyFill="1" applyBorder="1" applyAlignment="1" applyProtection="1">
      <alignment vertical="center"/>
    </xf>
    <xf numFmtId="4" fontId="16" fillId="4" borderId="43" xfId="0" applyNumberFormat="1" applyFont="1" applyFill="1" applyBorder="1" applyAlignment="1" applyProtection="1">
      <alignment vertical="center"/>
    </xf>
    <xf numFmtId="4" fontId="16" fillId="4" borderId="18" xfId="0" applyNumberFormat="1" applyFont="1" applyFill="1" applyBorder="1" applyAlignment="1" applyProtection="1">
      <alignment vertical="center"/>
    </xf>
    <xf numFmtId="4" fontId="16" fillId="4" borderId="45" xfId="0" applyNumberFormat="1" applyFont="1" applyFill="1" applyBorder="1" applyAlignment="1" applyProtection="1">
      <alignment vertical="center"/>
    </xf>
    <xf numFmtId="4" fontId="16" fillId="0" borderId="58" xfId="0" applyNumberFormat="1" applyFont="1" applyBorder="1" applyAlignment="1" applyProtection="1">
      <alignment vertical="center"/>
    </xf>
    <xf numFmtId="4" fontId="16" fillId="0" borderId="59" xfId="0" applyNumberFormat="1" applyFont="1" applyBorder="1" applyAlignment="1" applyProtection="1">
      <alignment vertical="center"/>
    </xf>
    <xf numFmtId="4" fontId="16" fillId="0" borderId="60" xfId="0" applyNumberFormat="1" applyFont="1" applyBorder="1" applyAlignment="1" applyProtection="1">
      <alignment vertical="center"/>
    </xf>
    <xf numFmtId="4" fontId="16" fillId="2" borderId="21" xfId="0" applyNumberFormat="1" applyFont="1" applyFill="1" applyBorder="1" applyAlignment="1" applyProtection="1">
      <alignment vertical="center"/>
      <protection hidden="1"/>
    </xf>
    <xf numFmtId="4" fontId="18" fillId="2" borderId="4" xfId="0" applyNumberFormat="1" applyFont="1" applyFill="1" applyBorder="1" applyAlignment="1" applyProtection="1">
      <alignment vertical="center"/>
      <protection locked="0"/>
    </xf>
    <xf numFmtId="4" fontId="16" fillId="6" borderId="5" xfId="0" applyNumberFormat="1" applyFont="1" applyFill="1" applyBorder="1" applyAlignment="1" applyProtection="1">
      <alignment vertical="center"/>
      <protection hidden="1"/>
    </xf>
    <xf numFmtId="4" fontId="16" fillId="0" borderId="48" xfId="0" applyNumberFormat="1" applyFont="1" applyBorder="1" applyAlignment="1" applyProtection="1">
      <alignment vertical="center"/>
    </xf>
    <xf numFmtId="4" fontId="16" fillId="0" borderId="50" xfId="0" applyNumberFormat="1" applyFont="1" applyBorder="1" applyAlignment="1" applyProtection="1">
      <alignment vertical="center"/>
    </xf>
    <xf numFmtId="4" fontId="18" fillId="2" borderId="21" xfId="0" applyNumberFormat="1" applyFont="1" applyFill="1" applyBorder="1" applyAlignment="1" applyProtection="1">
      <alignment vertical="center"/>
      <protection locked="0"/>
    </xf>
    <xf numFmtId="4" fontId="16" fillId="0" borderId="49" xfId="0" applyNumberFormat="1" applyFont="1" applyBorder="1" applyAlignment="1" applyProtection="1">
      <alignment vertical="center"/>
    </xf>
    <xf numFmtId="10" fontId="16" fillId="3" borderId="23" xfId="5" applyNumberFormat="1" applyFont="1" applyFill="1" applyBorder="1" applyAlignment="1" applyProtection="1">
      <alignment vertical="center"/>
      <protection locked="0"/>
    </xf>
    <xf numFmtId="0" fontId="11" fillId="0" borderId="0" xfId="0" applyFont="1" applyAlignment="1" applyProtection="1">
      <alignment vertical="center"/>
      <protection hidden="1"/>
    </xf>
    <xf numFmtId="4" fontId="18" fillId="0" borderId="6" xfId="0" applyNumberFormat="1" applyFont="1" applyBorder="1" applyAlignment="1" applyProtection="1">
      <alignment vertical="center"/>
    </xf>
    <xf numFmtId="4" fontId="21" fillId="0" borderId="10" xfId="0" applyNumberFormat="1" applyFont="1" applyBorder="1" applyAlignment="1" applyProtection="1">
      <alignment horizontal="right" vertical="center"/>
      <protection hidden="1"/>
    </xf>
    <xf numFmtId="4" fontId="21" fillId="0" borderId="10" xfId="0" applyNumberFormat="1" applyFont="1" applyBorder="1" applyAlignment="1" applyProtection="1">
      <alignment horizontal="right" vertical="center" wrapText="1"/>
      <protection hidden="1"/>
    </xf>
    <xf numFmtId="4" fontId="16" fillId="4" borderId="27" xfId="5" applyNumberFormat="1" applyFont="1" applyFill="1" applyBorder="1" applyAlignment="1" applyProtection="1">
      <alignment horizontal="right" vertical="center"/>
      <protection hidden="1"/>
    </xf>
    <xf numFmtId="4" fontId="16" fillId="4" borderId="27" xfId="5" applyNumberFormat="1" applyFont="1" applyFill="1" applyBorder="1" applyAlignment="1" applyProtection="1">
      <alignment horizontal="right" vertical="center" wrapText="1"/>
      <protection hidden="1"/>
    </xf>
    <xf numFmtId="4" fontId="16" fillId="4" borderId="27" xfId="3" applyNumberFormat="1" applyFont="1" applyFill="1" applyBorder="1" applyAlignment="1" applyProtection="1">
      <alignment horizontal="right" vertical="center"/>
    </xf>
    <xf numFmtId="4" fontId="16" fillId="4" borderId="28" xfId="3" applyNumberFormat="1" applyFont="1" applyFill="1" applyBorder="1" applyAlignment="1" applyProtection="1">
      <alignment horizontal="right" vertical="center"/>
    </xf>
    <xf numFmtId="4" fontId="16" fillId="4" borderId="6" xfId="3" applyNumberFormat="1" applyFont="1" applyFill="1" applyBorder="1" applyAlignment="1" applyProtection="1">
      <alignment horizontal="right" vertical="center"/>
    </xf>
    <xf numFmtId="0" fontId="18" fillId="4" borderId="35" xfId="0" applyFont="1" applyFill="1" applyBorder="1" applyAlignment="1" applyProtection="1">
      <alignment horizontal="center" vertical="center"/>
    </xf>
    <xf numFmtId="0" fontId="16" fillId="4" borderId="35" xfId="0" applyNumberFormat="1" applyFont="1" applyFill="1" applyBorder="1" applyAlignment="1" applyProtection="1">
      <alignment horizontal="center" vertical="center"/>
    </xf>
    <xf numFmtId="0" fontId="16" fillId="4" borderId="44" xfId="0" applyFont="1" applyFill="1" applyBorder="1" applyAlignment="1" applyProtection="1">
      <alignment horizontal="center" vertical="center"/>
    </xf>
    <xf numFmtId="1" fontId="16" fillId="4" borderId="35" xfId="0" applyNumberFormat="1" applyFont="1" applyFill="1" applyBorder="1" applyAlignment="1" applyProtection="1">
      <alignment horizontal="center" vertical="center"/>
    </xf>
    <xf numFmtId="0" fontId="18" fillId="4" borderId="41" xfId="0" applyFont="1" applyFill="1" applyBorder="1" applyAlignment="1" applyProtection="1">
      <alignment horizontal="center" vertical="center"/>
    </xf>
    <xf numFmtId="0" fontId="16" fillId="4" borderId="41"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18" fillId="4" borderId="38" xfId="0" applyFont="1" applyFill="1" applyBorder="1" applyAlignment="1" applyProtection="1">
      <alignment horizontal="center" vertical="center"/>
    </xf>
    <xf numFmtId="0" fontId="16" fillId="4" borderId="38" xfId="0" applyFont="1" applyFill="1" applyBorder="1" applyAlignment="1" applyProtection="1">
      <alignment horizontal="center" vertical="center"/>
    </xf>
    <xf numFmtId="0" fontId="16" fillId="4" borderId="46" xfId="0" applyFont="1" applyFill="1" applyBorder="1" applyAlignment="1" applyProtection="1">
      <alignment horizontal="center" vertical="center"/>
    </xf>
    <xf numFmtId="0" fontId="16" fillId="4" borderId="35" xfId="0" applyFont="1" applyFill="1" applyBorder="1" applyAlignment="1" applyProtection="1">
      <alignment horizontal="center" vertical="center"/>
    </xf>
    <xf numFmtId="0" fontId="9" fillId="0" borderId="0" xfId="0" applyFont="1" applyFill="1" applyBorder="1" applyAlignment="1" applyProtection="1">
      <alignment horizontal="left" wrapText="1"/>
    </xf>
    <xf numFmtId="0" fontId="19" fillId="0" borderId="0" xfId="0" applyFont="1" applyFill="1" applyBorder="1" applyAlignment="1" applyProtection="1">
      <alignment horizontal="left" vertical="center" indent="3"/>
    </xf>
    <xf numFmtId="0" fontId="38" fillId="0" borderId="10" xfId="0" applyFont="1" applyFill="1" applyBorder="1" applyAlignment="1" applyProtection="1">
      <alignment horizontal="center" vertical="center" wrapText="1"/>
    </xf>
    <xf numFmtId="0" fontId="38" fillId="0" borderId="39" xfId="0" applyFont="1" applyFill="1" applyBorder="1" applyAlignment="1" applyProtection="1">
      <alignment horizontal="center" vertical="center" wrapText="1"/>
    </xf>
    <xf numFmtId="0" fontId="38" fillId="0" borderId="36" xfId="0" applyFont="1" applyFill="1" applyBorder="1" applyAlignment="1" applyProtection="1">
      <alignment horizontal="center" vertical="center" wrapText="1"/>
    </xf>
    <xf numFmtId="0" fontId="38" fillId="0" borderId="37" xfId="0" applyFont="1" applyFill="1" applyBorder="1" applyAlignment="1" applyProtection="1">
      <alignment horizontal="center" vertical="center" wrapText="1"/>
    </xf>
    <xf numFmtId="0" fontId="38" fillId="0" borderId="42" xfId="0" applyFont="1" applyFill="1" applyBorder="1" applyAlignment="1" applyProtection="1">
      <alignment horizontal="center" vertical="center" wrapText="1"/>
    </xf>
    <xf numFmtId="0" fontId="9" fillId="0" borderId="0" xfId="0" applyFont="1" applyFill="1" applyBorder="1" applyAlignment="1" applyProtection="1">
      <alignment wrapText="1"/>
    </xf>
    <xf numFmtId="0" fontId="39" fillId="0" borderId="0" xfId="0" applyFont="1" applyFill="1" applyBorder="1" applyAlignment="1" applyProtection="1">
      <alignment wrapText="1"/>
      <protection locked="0"/>
    </xf>
    <xf numFmtId="0" fontId="15" fillId="4" borderId="0" xfId="2" applyNumberFormat="1" applyFont="1" applyFill="1" applyBorder="1" applyAlignment="1" applyProtection="1">
      <alignment horizontal="left" vertical="top"/>
    </xf>
    <xf numFmtId="0" fontId="2" fillId="3" borderId="0" xfId="6" applyFont="1" applyFill="1" applyBorder="1" applyAlignment="1" applyProtection="1">
      <alignment vertical="center"/>
    </xf>
    <xf numFmtId="0" fontId="2" fillId="4" borderId="4" xfId="6" applyFont="1" applyFill="1" applyBorder="1" applyAlignment="1" applyProtection="1">
      <alignment vertical="center"/>
    </xf>
    <xf numFmtId="0" fontId="20" fillId="4" borderId="0" xfId="6" applyFont="1" applyFill="1" applyBorder="1" applyAlignment="1" applyProtection="1">
      <alignment horizontal="left" vertical="center"/>
    </xf>
    <xf numFmtId="0" fontId="15" fillId="4" borderId="0" xfId="2" applyNumberFormat="1" applyFont="1" applyFill="1" applyBorder="1" applyAlignment="1" applyProtection="1">
      <alignment vertical="center" wrapText="1"/>
    </xf>
    <xf numFmtId="0" fontId="2" fillId="4" borderId="5" xfId="6" applyFont="1" applyFill="1" applyBorder="1" applyAlignment="1" applyProtection="1">
      <alignment vertical="center"/>
    </xf>
    <xf numFmtId="0" fontId="2" fillId="0" borderId="5" xfId="6" applyFont="1" applyFill="1" applyBorder="1" applyAlignment="1" applyProtection="1">
      <alignment vertical="center"/>
    </xf>
    <xf numFmtId="0" fontId="16" fillId="3" borderId="6" xfId="2" applyNumberFormat="1" applyFont="1" applyFill="1" applyBorder="1" applyAlignment="1" applyProtection="1">
      <alignment horizontal="left" vertical="center" indent="1"/>
      <protection locked="0"/>
    </xf>
    <xf numFmtId="0" fontId="10" fillId="0" borderId="5" xfId="1" applyFill="1" applyBorder="1" applyProtection="1"/>
    <xf numFmtId="0" fontId="15" fillId="3" borderId="53" xfId="0" applyFont="1" applyFill="1" applyBorder="1" applyAlignment="1" applyProtection="1">
      <alignment horizontal="center" vertical="center" wrapText="1"/>
      <protection locked="0"/>
    </xf>
    <xf numFmtId="0" fontId="2" fillId="2" borderId="52" xfId="0" applyFont="1" applyFill="1" applyBorder="1" applyAlignment="1" applyProtection="1">
      <alignment horizontal="center" vertical="center" wrapText="1"/>
      <protection hidden="1"/>
    </xf>
    <xf numFmtId="0" fontId="18" fillId="0" borderId="0" xfId="0" applyFont="1" applyFill="1" applyBorder="1" applyAlignment="1" applyProtection="1">
      <alignment vertical="center"/>
      <protection hidden="1"/>
    </xf>
    <xf numFmtId="0" fontId="16" fillId="0" borderId="36" xfId="0" applyFont="1" applyBorder="1" applyAlignment="1" applyProtection="1">
      <alignment horizontal="left" vertical="center" wrapText="1"/>
    </xf>
    <xf numFmtId="0" fontId="16" fillId="0" borderId="10" xfId="0" applyFont="1" applyBorder="1" applyAlignment="1" applyProtection="1">
      <alignment horizontal="left" vertical="center" wrapText="1"/>
    </xf>
    <xf numFmtId="0" fontId="16" fillId="0" borderId="39" xfId="0" applyFont="1" applyBorder="1" applyAlignment="1" applyProtection="1">
      <alignment horizontal="left" vertical="center" wrapText="1"/>
    </xf>
    <xf numFmtId="0" fontId="4" fillId="6" borderId="12" xfId="0" applyFont="1" applyFill="1" applyBorder="1" applyAlignment="1" applyProtection="1">
      <alignment horizontal="left" vertical="center" indent="1"/>
      <protection hidden="1"/>
    </xf>
    <xf numFmtId="0" fontId="18" fillId="4" borderId="10" xfId="0" applyFont="1" applyFill="1" applyBorder="1" applyAlignment="1" applyProtection="1">
      <alignment horizontal="left" vertical="center"/>
    </xf>
    <xf numFmtId="0" fontId="18" fillId="4" borderId="36" xfId="0" applyFont="1" applyFill="1" applyBorder="1" applyAlignment="1" applyProtection="1">
      <alignment horizontal="left" vertical="center"/>
    </xf>
    <xf numFmtId="0" fontId="3" fillId="6" borderId="45" xfId="0" applyFont="1" applyFill="1" applyBorder="1" applyAlignment="1" applyProtection="1">
      <alignment horizontal="center" vertical="center" wrapText="1"/>
      <protection hidden="1"/>
    </xf>
    <xf numFmtId="0" fontId="18" fillId="4" borderId="39" xfId="0" applyFont="1" applyFill="1" applyBorder="1" applyAlignment="1" applyProtection="1">
      <alignment horizontal="left" vertical="center"/>
    </xf>
    <xf numFmtId="0" fontId="3" fillId="6" borderId="40" xfId="0" applyFont="1" applyFill="1" applyBorder="1" applyAlignment="1" applyProtection="1">
      <alignment horizontal="center" vertical="center" wrapText="1"/>
      <protection hidden="1"/>
    </xf>
    <xf numFmtId="0" fontId="3" fillId="6" borderId="46" xfId="0" applyFont="1" applyFill="1" applyBorder="1" applyAlignment="1" applyProtection="1">
      <alignment horizontal="center" vertical="center" wrapText="1"/>
      <protection hidden="1"/>
    </xf>
    <xf numFmtId="0" fontId="41" fillId="3" borderId="0" xfId="12" applyFont="1" applyFill="1" applyBorder="1" applyAlignment="1" applyProtection="1">
      <alignment horizontal="right" vertical="center"/>
    </xf>
    <xf numFmtId="0" fontId="41" fillId="3" borderId="0" xfId="2" applyFont="1" applyFill="1" applyBorder="1" applyAlignment="1" applyProtection="1">
      <alignment horizontal="right" vertical="center"/>
    </xf>
    <xf numFmtId="0" fontId="41" fillId="3" borderId="0" xfId="2" applyFont="1" applyFill="1" applyAlignment="1" applyProtection="1">
      <alignment horizontal="right" vertical="center"/>
    </xf>
    <xf numFmtId="0" fontId="9" fillId="4" borderId="35" xfId="0" applyFont="1" applyFill="1" applyBorder="1" applyAlignment="1" applyProtection="1">
      <alignment horizontal="center" vertical="center" wrapText="1"/>
      <protection locked="0"/>
    </xf>
    <xf numFmtId="0" fontId="9" fillId="4" borderId="36" xfId="0" applyFont="1" applyFill="1" applyBorder="1" applyAlignment="1" applyProtection="1">
      <alignment horizontal="center" vertical="center" wrapText="1"/>
      <protection locked="0"/>
    </xf>
    <xf numFmtId="0" fontId="9" fillId="4" borderId="37" xfId="0" applyFont="1" applyFill="1" applyBorder="1" applyAlignment="1" applyProtection="1">
      <alignment horizontal="center" vertical="center" wrapText="1"/>
      <protection locked="0"/>
    </xf>
    <xf numFmtId="0" fontId="9" fillId="4" borderId="41" xfId="0" applyFont="1" applyFill="1" applyBorder="1" applyAlignment="1" applyProtection="1">
      <alignment horizontal="center" vertical="center" wrapText="1"/>
      <protection locked="0"/>
    </xf>
    <xf numFmtId="0" fontId="9" fillId="4" borderId="10" xfId="0" applyFont="1" applyFill="1" applyBorder="1" applyAlignment="1" applyProtection="1">
      <alignment horizontal="center" vertical="center" wrapText="1"/>
      <protection locked="0"/>
    </xf>
    <xf numFmtId="0" fontId="9" fillId="4" borderId="42" xfId="0" applyFont="1" applyFill="1" applyBorder="1" applyAlignment="1" applyProtection="1">
      <alignment horizontal="center" vertical="center" wrapText="1"/>
      <protection locked="0"/>
    </xf>
    <xf numFmtId="0" fontId="9" fillId="4" borderId="38" xfId="0" applyFont="1" applyFill="1" applyBorder="1" applyAlignment="1" applyProtection="1">
      <alignment horizontal="center" vertical="center" wrapText="1"/>
      <protection locked="0"/>
    </xf>
    <xf numFmtId="0" fontId="9" fillId="4" borderId="39" xfId="0" applyFont="1" applyFill="1" applyBorder="1" applyAlignment="1" applyProtection="1">
      <alignment horizontal="center" vertical="center" wrapText="1"/>
      <protection locked="0"/>
    </xf>
    <xf numFmtId="0" fontId="9" fillId="4" borderId="40" xfId="0" applyFont="1" applyFill="1" applyBorder="1" applyAlignment="1" applyProtection="1">
      <alignment horizontal="center" vertical="center" wrapText="1"/>
      <protection locked="0"/>
    </xf>
    <xf numFmtId="0" fontId="9" fillId="0" borderId="0" xfId="0" applyFont="1" applyFill="1" applyBorder="1" applyAlignment="1" applyProtection="1">
      <alignment horizontal="left" vertical="center" wrapText="1" indent="3"/>
    </xf>
    <xf numFmtId="0" fontId="9" fillId="4" borderId="41" xfId="0" applyFont="1" applyFill="1" applyBorder="1" applyAlignment="1" applyProtection="1">
      <alignment horizontal="left" vertical="center" wrapText="1" indent="1"/>
    </xf>
    <xf numFmtId="0" fontId="9" fillId="4" borderId="10" xfId="0" applyFont="1" applyFill="1" applyBorder="1" applyAlignment="1" applyProtection="1">
      <alignment horizontal="left" vertical="center" wrapText="1" indent="1"/>
    </xf>
    <xf numFmtId="0" fontId="9" fillId="6" borderId="35" xfId="0" applyFont="1" applyFill="1" applyBorder="1" applyAlignment="1" applyProtection="1">
      <alignment horizontal="center" vertical="center" wrapText="1"/>
    </xf>
    <xf numFmtId="0" fontId="9" fillId="6" borderId="36" xfId="0" applyFont="1" applyFill="1" applyBorder="1" applyAlignment="1" applyProtection="1">
      <alignment horizontal="center" vertical="center" wrapText="1"/>
    </xf>
    <xf numFmtId="0" fontId="9" fillId="6" borderId="37" xfId="0" applyFont="1" applyFill="1" applyBorder="1" applyAlignment="1" applyProtection="1">
      <alignment horizontal="center" vertical="center" wrapText="1"/>
    </xf>
    <xf numFmtId="0" fontId="9" fillId="4" borderId="38" xfId="0" applyFont="1" applyFill="1" applyBorder="1" applyAlignment="1" applyProtection="1">
      <alignment horizontal="left" vertical="center" wrapText="1" indent="1"/>
    </xf>
    <xf numFmtId="0" fontId="9" fillId="4" borderId="39" xfId="0" applyFont="1" applyFill="1" applyBorder="1" applyAlignment="1" applyProtection="1">
      <alignment horizontal="left" vertical="center" wrapText="1" indent="1"/>
    </xf>
    <xf numFmtId="0" fontId="9" fillId="6" borderId="44" xfId="0" applyFont="1" applyFill="1" applyBorder="1" applyAlignment="1" applyProtection="1">
      <alignment horizontal="center" vertical="center" wrapText="1"/>
    </xf>
    <xf numFmtId="0" fontId="18" fillId="6" borderId="35" xfId="0" applyFont="1" applyFill="1" applyBorder="1" applyAlignment="1" applyProtection="1">
      <alignment horizontal="center" vertical="center"/>
    </xf>
    <xf numFmtId="0" fontId="18" fillId="6" borderId="36" xfId="0" applyFont="1" applyFill="1" applyBorder="1" applyAlignment="1" applyProtection="1">
      <alignment horizontal="center" vertical="center"/>
    </xf>
    <xf numFmtId="0" fontId="18" fillId="6" borderId="37" xfId="0" applyFont="1" applyFill="1" applyBorder="1" applyAlignment="1" applyProtection="1">
      <alignment horizontal="center" vertical="center"/>
    </xf>
    <xf numFmtId="0" fontId="19" fillId="6" borderId="43" xfId="0" applyFont="1" applyFill="1" applyBorder="1" applyAlignment="1" applyProtection="1">
      <alignment horizontal="center" vertical="center" wrapText="1"/>
    </xf>
    <xf numFmtId="0" fontId="19" fillId="6" borderId="45" xfId="0" applyFont="1" applyFill="1" applyBorder="1" applyAlignment="1" applyProtection="1">
      <alignment horizontal="center" vertical="center" wrapText="1"/>
    </xf>
    <xf numFmtId="0" fontId="15" fillId="6" borderId="38" xfId="0" applyFont="1" applyFill="1" applyBorder="1" applyAlignment="1" applyProtection="1">
      <alignment horizontal="center" vertical="center" wrapText="1"/>
    </xf>
    <xf numFmtId="0" fontId="15" fillId="6" borderId="39" xfId="0" applyFont="1" applyFill="1" applyBorder="1" applyAlignment="1" applyProtection="1">
      <alignment horizontal="center" vertical="center" wrapText="1"/>
    </xf>
    <xf numFmtId="0" fontId="15" fillId="6" borderId="40" xfId="0" applyFont="1" applyFill="1" applyBorder="1" applyAlignment="1" applyProtection="1">
      <alignment horizontal="center" vertical="center" wrapText="1"/>
    </xf>
    <xf numFmtId="0" fontId="19" fillId="6" borderId="35" xfId="0" applyFont="1" applyFill="1" applyBorder="1" applyAlignment="1" applyProtection="1">
      <alignment horizontal="center" vertical="center" wrapText="1"/>
    </xf>
    <xf numFmtId="0" fontId="19" fillId="6" borderId="36" xfId="0" applyFont="1" applyFill="1" applyBorder="1" applyAlignment="1" applyProtection="1">
      <alignment horizontal="center" vertical="center" wrapText="1"/>
    </xf>
    <xf numFmtId="0" fontId="19" fillId="6" borderId="38" xfId="0" applyFont="1" applyFill="1" applyBorder="1" applyAlignment="1" applyProtection="1">
      <alignment horizontal="center" vertical="center" wrapText="1"/>
    </xf>
    <xf numFmtId="0" fontId="19" fillId="6" borderId="39" xfId="0" applyFont="1" applyFill="1" applyBorder="1" applyAlignment="1" applyProtection="1">
      <alignment horizontal="center" vertical="center" wrapText="1"/>
    </xf>
    <xf numFmtId="0" fontId="9" fillId="4" borderId="35" xfId="0" applyFont="1" applyFill="1" applyBorder="1" applyAlignment="1" applyProtection="1">
      <alignment horizontal="left" vertical="center" wrapText="1" indent="1"/>
    </xf>
    <xf numFmtId="0" fontId="9" fillId="4" borderId="36" xfId="0" applyFont="1" applyFill="1" applyBorder="1" applyAlignment="1" applyProtection="1">
      <alignment horizontal="left" vertical="center" wrapText="1" indent="1"/>
    </xf>
    <xf numFmtId="0" fontId="15" fillId="4" borderId="0" xfId="2" applyNumberFormat="1" applyFont="1" applyFill="1" applyBorder="1" applyAlignment="1" applyProtection="1">
      <alignment horizontal="left" vertical="top"/>
    </xf>
    <xf numFmtId="0" fontId="13" fillId="4" borderId="0" xfId="0" applyFont="1" applyFill="1" applyBorder="1" applyAlignment="1" applyProtection="1">
      <alignment horizontal="left" vertical="top" wrapText="1"/>
    </xf>
    <xf numFmtId="0" fontId="16" fillId="4" borderId="0" xfId="2" applyNumberFormat="1" applyFont="1" applyFill="1" applyBorder="1" applyAlignment="1" applyProtection="1">
      <alignment horizontal="left" vertical="center"/>
    </xf>
    <xf numFmtId="0" fontId="15" fillId="4" borderId="0" xfId="2" applyNumberFormat="1" applyFont="1" applyFill="1" applyBorder="1" applyAlignment="1" applyProtection="1">
      <alignment horizontal="left" vertical="center" wrapText="1"/>
    </xf>
    <xf numFmtId="0" fontId="16" fillId="4" borderId="0" xfId="2" applyNumberFormat="1" applyFont="1" applyFill="1" applyBorder="1" applyAlignment="1" applyProtection="1">
      <alignment horizontal="left" vertical="top" wrapText="1"/>
    </xf>
    <xf numFmtId="0" fontId="15" fillId="4" borderId="0" xfId="2" applyNumberFormat="1" applyFont="1" applyFill="1" applyBorder="1" applyAlignment="1" applyProtection="1">
      <alignment horizontal="left" vertical="center"/>
    </xf>
    <xf numFmtId="0" fontId="2" fillId="0" borderId="8" xfId="0" applyFont="1" applyBorder="1" applyAlignment="1" applyProtection="1">
      <alignment horizontal="left" vertical="center" wrapText="1"/>
      <protection hidden="1"/>
    </xf>
    <xf numFmtId="0" fontId="3" fillId="0" borderId="8" xfId="0" applyFont="1" applyBorder="1" applyAlignment="1" applyProtection="1">
      <alignment horizontal="left" vertical="center" wrapText="1"/>
      <protection hidden="1"/>
    </xf>
    <xf numFmtId="0" fontId="4" fillId="6" borderId="55" xfId="0" applyFont="1" applyFill="1" applyBorder="1" applyAlignment="1" applyProtection="1">
      <alignment horizontal="left" vertical="center" indent="1"/>
      <protection hidden="1"/>
    </xf>
    <xf numFmtId="0" fontId="4" fillId="6" borderId="56" xfId="0" applyFont="1" applyFill="1" applyBorder="1" applyAlignment="1" applyProtection="1">
      <alignment horizontal="left" vertical="center" indent="1"/>
      <protection hidden="1"/>
    </xf>
    <xf numFmtId="0" fontId="4" fillId="6" borderId="57" xfId="0" applyFont="1" applyFill="1" applyBorder="1" applyAlignment="1" applyProtection="1">
      <alignment horizontal="left" vertical="center" indent="1"/>
      <protection hidden="1"/>
    </xf>
    <xf numFmtId="0" fontId="4" fillId="6" borderId="17" xfId="0" applyFont="1" applyFill="1" applyBorder="1" applyAlignment="1" applyProtection="1">
      <alignment horizontal="left" vertical="center" indent="1"/>
      <protection hidden="1"/>
    </xf>
    <xf numFmtId="0" fontId="4" fillId="6" borderId="47" xfId="0" applyFont="1" applyFill="1" applyBorder="1" applyAlignment="1" applyProtection="1">
      <alignment horizontal="left" vertical="center" indent="1"/>
      <protection hidden="1"/>
    </xf>
    <xf numFmtId="0" fontId="4" fillId="6" borderId="54" xfId="0" applyFont="1" applyFill="1" applyBorder="1" applyAlignment="1" applyProtection="1">
      <alignment horizontal="left" vertical="center" indent="1"/>
      <protection hidden="1"/>
    </xf>
    <xf numFmtId="0" fontId="4" fillId="6" borderId="12" xfId="0" applyFont="1" applyFill="1" applyBorder="1" applyAlignment="1" applyProtection="1">
      <alignment horizontal="left" vertical="center" indent="1"/>
      <protection hidden="1"/>
    </xf>
    <xf numFmtId="0" fontId="4" fillId="6" borderId="13" xfId="0" applyFont="1" applyFill="1" applyBorder="1" applyAlignment="1" applyProtection="1">
      <alignment horizontal="left" vertical="center" indent="1"/>
      <protection hidden="1"/>
    </xf>
    <xf numFmtId="0" fontId="2" fillId="0" borderId="13" xfId="0" applyFont="1" applyFill="1" applyBorder="1" applyAlignment="1" applyProtection="1">
      <alignment horizontal="left" wrapText="1"/>
      <protection hidden="1"/>
    </xf>
    <xf numFmtId="0" fontId="21" fillId="0" borderId="24" xfId="0" applyFont="1" applyFill="1" applyBorder="1" applyAlignment="1" applyProtection="1">
      <alignment horizontal="center" vertical="center"/>
      <protection hidden="1"/>
    </xf>
    <xf numFmtId="0" fontId="21" fillId="0" borderId="16" xfId="0" applyFont="1" applyFill="1" applyBorder="1" applyAlignment="1" applyProtection="1">
      <alignment horizontal="center" vertical="center"/>
      <protection hidden="1"/>
    </xf>
    <xf numFmtId="0" fontId="20" fillId="0" borderId="64" xfId="0" applyFont="1" applyBorder="1" applyAlignment="1" applyProtection="1">
      <alignment horizontal="center" vertical="center"/>
      <protection hidden="1"/>
    </xf>
    <xf numFmtId="0" fontId="20" fillId="0" borderId="65" xfId="0" applyFont="1" applyBorder="1" applyAlignment="1" applyProtection="1">
      <alignment horizontal="center" vertical="center"/>
      <protection hidden="1"/>
    </xf>
    <xf numFmtId="0" fontId="3" fillId="0" borderId="0" xfId="0" applyFont="1" applyAlignment="1" applyProtection="1">
      <alignment horizontal="left" vertical="center" wrapText="1"/>
      <protection hidden="1"/>
    </xf>
    <xf numFmtId="0" fontId="3" fillId="0" borderId="5" xfId="0" applyFont="1" applyBorder="1" applyAlignment="1" applyProtection="1">
      <alignment horizontal="left" vertical="center" wrapText="1"/>
      <protection hidden="1"/>
    </xf>
    <xf numFmtId="0" fontId="3" fillId="6" borderId="44" xfId="0" applyFont="1" applyFill="1" applyBorder="1" applyAlignment="1" applyProtection="1">
      <alignment horizontal="center" vertical="center"/>
      <protection hidden="1"/>
    </xf>
    <xf numFmtId="0" fontId="3" fillId="6" borderId="43" xfId="0" applyFont="1" applyFill="1" applyBorder="1" applyAlignment="1" applyProtection="1">
      <alignment horizontal="center" vertical="center"/>
      <protection hidden="1"/>
    </xf>
    <xf numFmtId="0" fontId="15" fillId="6" borderId="48" xfId="0" applyFont="1" applyFill="1" applyBorder="1" applyAlignment="1" applyProtection="1">
      <alignment horizontal="center" vertical="center" wrapText="1"/>
      <protection hidden="1"/>
    </xf>
    <xf numFmtId="0" fontId="15" fillId="6" borderId="49" xfId="0" applyFont="1" applyFill="1" applyBorder="1" applyAlignment="1" applyProtection="1">
      <alignment horizontal="center" vertical="center" wrapText="1"/>
      <protection hidden="1"/>
    </xf>
    <xf numFmtId="0" fontId="15" fillId="0" borderId="8" xfId="0" applyFont="1" applyBorder="1" applyAlignment="1" applyProtection="1">
      <alignment horizontal="left" vertical="center" wrapText="1"/>
      <protection hidden="1"/>
    </xf>
    <xf numFmtId="0" fontId="21" fillId="0" borderId="24" xfId="0" applyFont="1" applyFill="1" applyBorder="1" applyAlignment="1" applyProtection="1">
      <alignment horizontal="center" vertical="center" wrapText="1"/>
      <protection hidden="1"/>
    </xf>
    <xf numFmtId="0" fontId="21" fillId="0" borderId="16" xfId="0" applyFont="1" applyFill="1" applyBorder="1" applyAlignment="1" applyProtection="1">
      <alignment horizontal="center" vertical="center" wrapText="1"/>
      <protection hidden="1"/>
    </xf>
    <xf numFmtId="0" fontId="3" fillId="6" borderId="35" xfId="0" applyFont="1" applyFill="1" applyBorder="1" applyAlignment="1" applyProtection="1">
      <alignment horizontal="center" vertical="center" textRotation="90" wrapText="1"/>
      <protection hidden="1"/>
    </xf>
    <xf numFmtId="0" fontId="3" fillId="6" borderId="38" xfId="0" applyFont="1" applyFill="1" applyBorder="1" applyAlignment="1" applyProtection="1">
      <alignment horizontal="center" vertical="center" textRotation="90" wrapText="1"/>
      <protection hidden="1"/>
    </xf>
    <xf numFmtId="0" fontId="3" fillId="6" borderId="36" xfId="0" applyFont="1" applyFill="1" applyBorder="1" applyAlignment="1" applyProtection="1">
      <alignment horizontal="center" vertical="center" wrapText="1"/>
      <protection hidden="1"/>
    </xf>
    <xf numFmtId="0" fontId="3" fillId="6" borderId="39" xfId="0" applyFont="1" applyFill="1" applyBorder="1" applyAlignment="1" applyProtection="1">
      <alignment horizontal="center" vertical="center" wrapText="1"/>
      <protection hidden="1"/>
    </xf>
    <xf numFmtId="0" fontId="18" fillId="4" borderId="10" xfId="0" applyFont="1" applyFill="1" applyBorder="1" applyAlignment="1" applyProtection="1">
      <alignment horizontal="left" vertical="center"/>
    </xf>
    <xf numFmtId="0" fontId="18" fillId="0" borderId="10" xfId="0" applyFont="1" applyBorder="1" applyAlignment="1" applyProtection="1">
      <alignment vertical="center"/>
    </xf>
    <xf numFmtId="0" fontId="3" fillId="6" borderId="36" xfId="0" applyFont="1" applyFill="1" applyBorder="1" applyAlignment="1" applyProtection="1">
      <alignment vertical="center"/>
      <protection hidden="1"/>
    </xf>
    <xf numFmtId="0" fontId="3" fillId="6" borderId="39" xfId="0" applyFont="1" applyFill="1" applyBorder="1" applyAlignment="1" applyProtection="1">
      <alignment vertical="center"/>
      <protection hidden="1"/>
    </xf>
    <xf numFmtId="0" fontId="18" fillId="4" borderId="36" xfId="0" applyFont="1" applyFill="1" applyBorder="1" applyAlignment="1" applyProtection="1">
      <alignment horizontal="left" vertical="center"/>
    </xf>
    <xf numFmtId="0" fontId="18" fillId="0" borderId="36" xfId="0" applyFont="1" applyBorder="1" applyAlignment="1" applyProtection="1">
      <alignment vertical="center"/>
    </xf>
    <xf numFmtId="0" fontId="3" fillId="6" borderId="43" xfId="0" applyFont="1" applyFill="1" applyBorder="1" applyAlignment="1" applyProtection="1">
      <alignment horizontal="center" vertical="center" wrapText="1"/>
      <protection hidden="1"/>
    </xf>
    <xf numFmtId="0" fontId="3" fillId="6" borderId="45" xfId="0" applyFont="1" applyFill="1" applyBorder="1" applyAlignment="1" applyProtection="1">
      <alignment horizontal="center" vertical="center" wrapText="1"/>
      <protection hidden="1"/>
    </xf>
    <xf numFmtId="0" fontId="15" fillId="0" borderId="0" xfId="0" applyFont="1" applyBorder="1" applyAlignment="1" applyProtection="1">
      <alignment horizontal="left" vertical="center" wrapText="1"/>
      <protection hidden="1"/>
    </xf>
    <xf numFmtId="0" fontId="3" fillId="2" borderId="35" xfId="0" applyFont="1" applyFill="1" applyBorder="1" applyAlignment="1" applyProtection="1">
      <alignment horizontal="center" vertical="center"/>
      <protection hidden="1"/>
    </xf>
    <xf numFmtId="0" fontId="3" fillId="2" borderId="43" xfId="0" applyFont="1" applyFill="1" applyBorder="1" applyAlignment="1" applyProtection="1">
      <alignment horizontal="center" vertical="center"/>
      <protection hidden="1"/>
    </xf>
    <xf numFmtId="0" fontId="3" fillId="6" borderId="37" xfId="0" applyFont="1" applyFill="1" applyBorder="1" applyAlignment="1" applyProtection="1">
      <alignment horizontal="center" vertical="center"/>
      <protection hidden="1"/>
    </xf>
    <xf numFmtId="0" fontId="3" fillId="6" borderId="35" xfId="0" applyFont="1" applyFill="1" applyBorder="1" applyAlignment="1" applyProtection="1">
      <alignment horizontal="center" vertical="center"/>
      <protection hidden="1"/>
    </xf>
    <xf numFmtId="0" fontId="3" fillId="6" borderId="61" xfId="0" applyFont="1" applyFill="1" applyBorder="1" applyAlignment="1" applyProtection="1">
      <alignment horizontal="center" vertical="center" textRotation="90" wrapText="1"/>
      <protection hidden="1"/>
    </xf>
    <xf numFmtId="0" fontId="3" fillId="6" borderId="31" xfId="0" applyFont="1" applyFill="1" applyBorder="1" applyAlignment="1" applyProtection="1">
      <alignment horizontal="center" vertical="center"/>
      <protection hidden="1"/>
    </xf>
    <xf numFmtId="0" fontId="3" fillId="6" borderId="32" xfId="0" applyFont="1" applyFill="1" applyBorder="1" applyAlignment="1" applyProtection="1">
      <alignment horizontal="center" vertical="center"/>
      <protection hidden="1"/>
    </xf>
    <xf numFmtId="0" fontId="3" fillId="6" borderId="63" xfId="0" applyFont="1" applyFill="1" applyBorder="1" applyAlignment="1" applyProtection="1">
      <alignment horizontal="center" vertical="center" wrapText="1"/>
      <protection hidden="1"/>
    </xf>
    <xf numFmtId="0" fontId="3" fillId="6" borderId="62" xfId="0" applyFont="1" applyFill="1" applyBorder="1" applyAlignment="1" applyProtection="1">
      <alignment horizontal="center" vertical="center" wrapText="1"/>
      <protection hidden="1"/>
    </xf>
    <xf numFmtId="0" fontId="16" fillId="0" borderId="39" xfId="0" applyFont="1" applyBorder="1" applyAlignment="1" applyProtection="1">
      <alignment horizontal="left" vertical="center"/>
    </xf>
    <xf numFmtId="0" fontId="3" fillId="6" borderId="48" xfId="0" applyFont="1" applyFill="1" applyBorder="1" applyAlignment="1" applyProtection="1">
      <alignment horizontal="center" vertical="center" wrapText="1"/>
      <protection hidden="1"/>
    </xf>
    <xf numFmtId="0" fontId="3" fillId="6" borderId="49" xfId="0" applyFont="1" applyFill="1" applyBorder="1" applyAlignment="1" applyProtection="1">
      <alignment horizontal="center" vertical="center" wrapText="1"/>
      <protection hidden="1"/>
    </xf>
    <xf numFmtId="0" fontId="16" fillId="3" borderId="10" xfId="0" applyFont="1" applyFill="1" applyBorder="1" applyAlignment="1" applyProtection="1">
      <alignment horizontal="left" vertical="center"/>
      <protection locked="0"/>
    </xf>
    <xf numFmtId="0" fontId="16" fillId="3" borderId="39" xfId="0" applyFont="1" applyFill="1" applyBorder="1" applyAlignment="1" applyProtection="1">
      <alignment horizontal="left" vertical="center"/>
      <protection locked="0"/>
    </xf>
    <xf numFmtId="0" fontId="18" fillId="4" borderId="39" xfId="0" applyFont="1" applyFill="1" applyBorder="1" applyAlignment="1" applyProtection="1">
      <alignment horizontal="left" vertical="center"/>
    </xf>
    <xf numFmtId="0" fontId="18" fillId="0" borderId="39" xfId="0" applyFont="1" applyBorder="1" applyAlignment="1" applyProtection="1">
      <alignment vertical="center"/>
    </xf>
    <xf numFmtId="0" fontId="16" fillId="3" borderId="36" xfId="0" applyFont="1" applyFill="1" applyBorder="1" applyAlignment="1" applyProtection="1">
      <alignment horizontal="left" vertical="center"/>
      <protection locked="0"/>
    </xf>
    <xf numFmtId="0" fontId="16" fillId="0" borderId="10" xfId="0" applyFont="1" applyBorder="1" applyAlignment="1" applyProtection="1">
      <alignment horizontal="left" vertical="center"/>
    </xf>
    <xf numFmtId="0" fontId="3" fillId="6" borderId="37" xfId="0" applyFont="1" applyFill="1" applyBorder="1" applyAlignment="1" applyProtection="1">
      <alignment horizontal="center" vertical="center" wrapText="1"/>
      <protection hidden="1"/>
    </xf>
    <xf numFmtId="0" fontId="3" fillId="6" borderId="40" xfId="0" applyFont="1" applyFill="1" applyBorder="1" applyAlignment="1" applyProtection="1">
      <alignment horizontal="center" vertical="center" wrapText="1"/>
      <protection hidden="1"/>
    </xf>
    <xf numFmtId="0" fontId="3" fillId="6" borderId="44" xfId="0" applyFont="1" applyFill="1" applyBorder="1" applyAlignment="1" applyProtection="1">
      <alignment horizontal="center" vertical="center" wrapText="1"/>
      <protection hidden="1"/>
    </xf>
    <xf numFmtId="0" fontId="3" fillId="6" borderId="46" xfId="0" applyFont="1" applyFill="1" applyBorder="1" applyAlignment="1" applyProtection="1">
      <alignment horizontal="center" vertical="center" wrapText="1"/>
      <protection hidden="1"/>
    </xf>
    <xf numFmtId="0" fontId="16" fillId="0" borderId="36" xfId="0" applyFont="1" applyBorder="1" applyAlignment="1" applyProtection="1">
      <alignment horizontal="left" vertical="center"/>
    </xf>
    <xf numFmtId="0" fontId="3" fillId="2" borderId="37" xfId="0" applyFont="1" applyFill="1" applyBorder="1" applyAlignment="1" applyProtection="1">
      <alignment horizontal="center" vertical="center"/>
      <protection hidden="1"/>
    </xf>
    <xf numFmtId="0" fontId="2" fillId="0" borderId="13" xfId="0" applyFont="1" applyBorder="1" applyAlignment="1" applyProtection="1">
      <alignment horizontal="left"/>
      <protection hidden="1"/>
    </xf>
    <xf numFmtId="0" fontId="15" fillId="2" borderId="12" xfId="0" applyFont="1" applyFill="1" applyBorder="1" applyAlignment="1" applyProtection="1">
      <alignment horizontal="left" vertical="center" indent="1"/>
      <protection hidden="1"/>
    </xf>
    <xf numFmtId="0" fontId="15" fillId="2" borderId="13" xfId="0" applyFont="1" applyFill="1" applyBorder="1" applyAlignment="1" applyProtection="1">
      <alignment horizontal="left" vertical="center" indent="1"/>
      <protection hidden="1"/>
    </xf>
    <xf numFmtId="0" fontId="15" fillId="2" borderId="11" xfId="0" applyFont="1" applyFill="1" applyBorder="1" applyAlignment="1" applyProtection="1">
      <alignment horizontal="left" vertical="center" indent="1"/>
      <protection hidden="1"/>
    </xf>
    <xf numFmtId="0" fontId="15" fillId="2" borderId="43" xfId="0" applyFont="1" applyFill="1" applyBorder="1" applyAlignment="1" applyProtection="1">
      <alignment horizontal="center" vertical="center" wrapText="1"/>
      <protection hidden="1"/>
    </xf>
    <xf numFmtId="0" fontId="15" fillId="2" borderId="18" xfId="0" applyFont="1" applyFill="1" applyBorder="1" applyAlignment="1" applyProtection="1">
      <alignment horizontal="center" vertical="center" wrapText="1"/>
      <protection hidden="1"/>
    </xf>
    <xf numFmtId="0" fontId="15" fillId="2" borderId="45" xfId="0" applyFont="1" applyFill="1" applyBorder="1" applyAlignment="1" applyProtection="1">
      <alignment horizontal="center" vertical="center" wrapText="1"/>
      <protection hidden="1"/>
    </xf>
    <xf numFmtId="0" fontId="15" fillId="2" borderId="51" xfId="0" applyFont="1" applyFill="1" applyBorder="1" applyAlignment="1" applyProtection="1">
      <alignment horizontal="center" wrapText="1"/>
      <protection hidden="1"/>
    </xf>
    <xf numFmtId="0" fontId="15" fillId="2" borderId="52" xfId="0" applyFont="1" applyFill="1" applyBorder="1" applyAlignment="1" applyProtection="1">
      <alignment horizontal="center" wrapText="1"/>
      <protection hidden="1"/>
    </xf>
    <xf numFmtId="0" fontId="15" fillId="2" borderId="53" xfId="0" applyFont="1" applyFill="1" applyBorder="1" applyAlignment="1" applyProtection="1">
      <alignment horizontal="center" wrapText="1"/>
      <protection hidden="1"/>
    </xf>
    <xf numFmtId="0" fontId="15" fillId="2" borderId="66" xfId="0" applyFont="1" applyFill="1" applyBorder="1" applyAlignment="1" applyProtection="1">
      <alignment horizontal="center" vertical="center" wrapText="1"/>
      <protection hidden="1"/>
    </xf>
    <xf numFmtId="0" fontId="15" fillId="2" borderId="16" xfId="0" applyFont="1" applyFill="1" applyBorder="1" applyAlignment="1" applyProtection="1">
      <alignment horizontal="center" vertical="center" wrapText="1"/>
      <protection hidden="1"/>
    </xf>
    <xf numFmtId="0" fontId="15" fillId="2" borderId="67" xfId="0" applyFont="1" applyFill="1" applyBorder="1" applyAlignment="1" applyProtection="1">
      <alignment horizontal="center" vertical="center" wrapText="1"/>
      <protection hidden="1"/>
    </xf>
    <xf numFmtId="0" fontId="15" fillId="2" borderId="35" xfId="0" applyFont="1" applyFill="1" applyBorder="1" applyAlignment="1" applyProtection="1">
      <alignment horizontal="center" vertical="center" wrapText="1"/>
      <protection hidden="1"/>
    </xf>
    <xf numFmtId="0" fontId="15" fillId="2" borderId="41" xfId="0" applyFont="1" applyFill="1" applyBorder="1" applyAlignment="1" applyProtection="1">
      <alignment horizontal="center" vertical="center" wrapText="1"/>
      <protection hidden="1"/>
    </xf>
    <xf numFmtId="0" fontId="15" fillId="2" borderId="38" xfId="0" applyFont="1" applyFill="1" applyBorder="1" applyAlignment="1" applyProtection="1">
      <alignment horizontal="center" vertical="center" wrapText="1"/>
      <protection hidden="1"/>
    </xf>
    <xf numFmtId="0" fontId="30" fillId="4" borderId="25" xfId="5" applyNumberFormat="1" applyFont="1" applyFill="1" applyBorder="1" applyAlignment="1" applyProtection="1">
      <alignment vertical="center"/>
      <protection hidden="1"/>
    </xf>
    <xf numFmtId="0" fontId="30" fillId="4" borderId="0" xfId="5" applyNumberFormat="1" applyFont="1" applyFill="1" applyBorder="1" applyAlignment="1" applyProtection="1">
      <alignment vertical="center"/>
      <protection hidden="1"/>
    </xf>
    <xf numFmtId="0" fontId="15" fillId="2" borderId="68" xfId="0" applyFont="1" applyFill="1" applyBorder="1" applyAlignment="1" applyProtection="1">
      <alignment horizontal="center" wrapText="1"/>
      <protection hidden="1"/>
    </xf>
    <xf numFmtId="0" fontId="15" fillId="2" borderId="69" xfId="0" applyFont="1" applyFill="1" applyBorder="1" applyAlignment="1" applyProtection="1">
      <alignment horizontal="center" vertical="center" wrapText="1"/>
      <protection hidden="1"/>
    </xf>
  </cellXfs>
  <cellStyles count="13">
    <cellStyle name="Comma" xfId="11" builtinId="3"/>
    <cellStyle name="Normal" xfId="0" builtinId="0"/>
    <cellStyle name="Normal 2" xfId="1"/>
    <cellStyle name="Normal 2 2" xfId="2"/>
    <cellStyle name="Normal 2 2 2" xfId="12"/>
    <cellStyle name="Normal 2 3" xfId="6"/>
    <cellStyle name="Normal 2 4" xfId="8"/>
    <cellStyle name="Normal 3" xfId="4"/>
    <cellStyle name="Normal 3 2" xfId="9"/>
    <cellStyle name="Normal 3 3" xfId="10"/>
    <cellStyle name="Normal 4" xfId="5"/>
    <cellStyle name="Normal 6" xfId="7"/>
    <cellStyle name="Percent 2" xfId="3"/>
  </cellStyles>
  <dxfs count="4">
    <dxf>
      <font>
        <condense val="0"/>
        <extend val="0"/>
        <color rgb="FF9C0006"/>
      </font>
      <fill>
        <patternFill>
          <bgColor rgb="FFFFC7CE"/>
        </patternFill>
      </fill>
    </dxf>
    <dxf>
      <font>
        <condense val="0"/>
        <extend val="0"/>
        <color rgb="FF9C0006"/>
      </font>
      <fill>
        <patternFill>
          <bgColor rgb="FFFFC7CE"/>
        </patternFill>
      </fill>
    </dxf>
    <dxf>
      <font>
        <b/>
        <i/>
      </font>
    </dxf>
    <dxf>
      <fill>
        <patternFill>
          <bgColor theme="0" tint="-4.9989318521683403E-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C$34"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15523</xdr:colOff>
      <xdr:row>1</xdr:row>
      <xdr:rowOff>17641</xdr:rowOff>
    </xdr:from>
    <xdr:to>
      <xdr:col>4</xdr:col>
      <xdr:colOff>6262</xdr:colOff>
      <xdr:row>3</xdr:row>
      <xdr:rowOff>71880</xdr:rowOff>
    </xdr:to>
    <xdr:pic>
      <xdr:nvPicPr>
        <xdr:cNvPr id="2" name="Picture 1" descr="WE_color_lg.jpg"/>
        <xdr:cNvPicPr>
          <a:picLocks noChangeAspect="1"/>
        </xdr:cNvPicPr>
      </xdr:nvPicPr>
      <xdr:blipFill>
        <a:blip xmlns:r="http://schemas.openxmlformats.org/officeDocument/2006/relationships" r:embed="rId1" cstate="print"/>
        <a:stretch>
          <a:fillRect/>
        </a:stretch>
      </xdr:blipFill>
      <xdr:spPr>
        <a:xfrm>
          <a:off x="174273" y="208141"/>
          <a:ext cx="773906" cy="77390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9525</xdr:colOff>
          <xdr:row>16</xdr:row>
          <xdr:rowOff>19050</xdr:rowOff>
        </xdr:from>
        <xdr:to>
          <xdr:col>4</xdr:col>
          <xdr:colOff>1390650</xdr:colOff>
          <xdr:row>16</xdr:row>
          <xdr:rowOff>285750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1485900</xdr:colOff>
          <xdr:row>16</xdr:row>
          <xdr:rowOff>19050</xdr:rowOff>
        </xdr:from>
        <xdr:to>
          <xdr:col>6</xdr:col>
          <xdr:colOff>95250</xdr:colOff>
          <xdr:row>16</xdr:row>
          <xdr:rowOff>285750</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28575</xdr:rowOff>
        </xdr:from>
        <xdr:to>
          <xdr:col>4</xdr:col>
          <xdr:colOff>66675</xdr:colOff>
          <xdr:row>34</xdr:row>
          <xdr:rowOff>247650</xdr:rowOff>
        </xdr:to>
        <xdr:sp macro="" textlink="">
          <xdr:nvSpPr>
            <xdr:cNvPr id="2062" name="Check Box 14"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37</xdr:row>
          <xdr:rowOff>123825</xdr:rowOff>
        </xdr:from>
        <xdr:to>
          <xdr:col>2</xdr:col>
          <xdr:colOff>933450</xdr:colOff>
          <xdr:row>38</xdr:row>
          <xdr:rowOff>133350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64</xdr:row>
          <xdr:rowOff>95250</xdr:rowOff>
        </xdr:from>
        <xdr:to>
          <xdr:col>2</xdr:col>
          <xdr:colOff>933450</xdr:colOff>
          <xdr:row>65</xdr:row>
          <xdr:rowOff>104775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990600</xdr:colOff>
          <xdr:row>37</xdr:row>
          <xdr:rowOff>123825</xdr:rowOff>
        </xdr:from>
        <xdr:to>
          <xdr:col>3</xdr:col>
          <xdr:colOff>314325</xdr:colOff>
          <xdr:row>38</xdr:row>
          <xdr:rowOff>133350</xdr:rowOff>
        </xdr:to>
        <xdr:sp macro="" textlink="">
          <xdr:nvSpPr>
            <xdr:cNvPr id="3117" name="Button 45" hidden="1">
              <a:extLst>
                <a:ext uri="{63B3BB69-23CF-44E3-9099-C40C66FF867C}">
                  <a14:compatExt spid="_x0000_s3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64</xdr:row>
          <xdr:rowOff>104775</xdr:rowOff>
        </xdr:from>
        <xdr:to>
          <xdr:col>3</xdr:col>
          <xdr:colOff>314325</xdr:colOff>
          <xdr:row>65</xdr:row>
          <xdr:rowOff>114300</xdr:rowOff>
        </xdr:to>
        <xdr:sp macro="" textlink="">
          <xdr:nvSpPr>
            <xdr:cNvPr id="3118" name="Button 46" hidden="1">
              <a:extLst>
                <a:ext uri="{63B3BB69-23CF-44E3-9099-C40C66FF867C}">
                  <a14:compatExt spid="_x0000_s3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37</xdr:row>
          <xdr:rowOff>123825</xdr:rowOff>
        </xdr:from>
        <xdr:to>
          <xdr:col>2</xdr:col>
          <xdr:colOff>933450</xdr:colOff>
          <xdr:row>38</xdr:row>
          <xdr:rowOff>133350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64</xdr:row>
          <xdr:rowOff>95250</xdr:rowOff>
        </xdr:from>
        <xdr:to>
          <xdr:col>2</xdr:col>
          <xdr:colOff>933450</xdr:colOff>
          <xdr:row>65</xdr:row>
          <xdr:rowOff>104775</xdr:rowOff>
        </xdr:to>
        <xdr:sp macro="" textlink="">
          <xdr:nvSpPr>
            <xdr:cNvPr id="46082" name="Button 2" hidden="1">
              <a:extLst>
                <a:ext uri="{63B3BB69-23CF-44E3-9099-C40C66FF867C}">
                  <a14:compatExt spid="_x0000_s46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990600</xdr:colOff>
          <xdr:row>37</xdr:row>
          <xdr:rowOff>123825</xdr:rowOff>
        </xdr:from>
        <xdr:to>
          <xdr:col>3</xdr:col>
          <xdr:colOff>314325</xdr:colOff>
          <xdr:row>38</xdr:row>
          <xdr:rowOff>133350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64</xdr:row>
          <xdr:rowOff>104775</xdr:rowOff>
        </xdr:from>
        <xdr:to>
          <xdr:col>3</xdr:col>
          <xdr:colOff>314325</xdr:colOff>
          <xdr:row>65</xdr:row>
          <xdr:rowOff>114300</xdr:rowOff>
        </xdr:to>
        <xdr:sp macro="" textlink="">
          <xdr:nvSpPr>
            <xdr:cNvPr id="46084" name="Button 4" hidden="1">
              <a:extLst>
                <a:ext uri="{63B3BB69-23CF-44E3-9099-C40C66FF867C}">
                  <a14:compatExt spid="_x0000_s46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xdr:row>
          <xdr:rowOff>133350</xdr:rowOff>
        </xdr:from>
        <xdr:to>
          <xdr:col>4</xdr:col>
          <xdr:colOff>228600</xdr:colOff>
          <xdr:row>6</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10</xdr:row>
          <xdr:rowOff>247650</xdr:rowOff>
        </xdr:from>
        <xdr:to>
          <xdr:col>3</xdr:col>
          <xdr:colOff>1876425</xdr:colOff>
          <xdr:row>11</xdr:row>
          <xdr:rowOff>161925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46"/>
  <sheetViews>
    <sheetView showGridLines="0" topLeftCell="A24" zoomScale="90" zoomScaleNormal="90" zoomScalePageLayoutView="90" workbookViewId="0">
      <selection activeCell="Q34" sqref="Q34"/>
    </sheetView>
  </sheetViews>
  <sheetFormatPr defaultColWidth="9.140625" defaultRowHeight="15" customHeight="1" x14ac:dyDescent="0.25"/>
  <cols>
    <col min="1" max="2" width="2.42578125" style="187" customWidth="1"/>
    <col min="3" max="3" width="7" style="187" customWidth="1"/>
    <col min="4" max="4" width="2.42578125" style="187" customWidth="1"/>
    <col min="5" max="5" width="28.7109375" style="187" customWidth="1"/>
    <col min="6" max="6" width="12.7109375" style="187" customWidth="1"/>
    <col min="7" max="7" width="7.85546875" style="187" customWidth="1"/>
    <col min="8" max="8" width="6.7109375" style="187" customWidth="1"/>
    <col min="9" max="9" width="7.5703125" style="187" customWidth="1"/>
    <col min="10" max="10" width="6.7109375" style="187" customWidth="1"/>
    <col min="11" max="12" width="12.7109375" style="187" customWidth="1"/>
    <col min="13" max="13" width="2.7109375" style="187" customWidth="1"/>
    <col min="14" max="18" width="12.7109375" style="187" customWidth="1"/>
    <col min="19" max="19" width="2.7109375" style="187" customWidth="1"/>
    <col min="20" max="25" width="12.7109375" style="187" hidden="1" customWidth="1"/>
    <col min="26" max="26" width="0" style="187" hidden="1" customWidth="1"/>
    <col min="27" max="16384" width="9.140625" style="187"/>
  </cols>
  <sheetData>
    <row r="1" spans="2:16" s="149" customFormat="1" x14ac:dyDescent="0.25">
      <c r="B1" s="148"/>
      <c r="C1" s="148"/>
      <c r="D1" s="148"/>
      <c r="F1" s="148"/>
      <c r="G1" s="148"/>
      <c r="H1" s="148"/>
      <c r="I1" s="148"/>
      <c r="J1" s="150"/>
      <c r="K1" s="150"/>
      <c r="L1" s="150"/>
      <c r="M1" s="150"/>
      <c r="N1" s="150"/>
      <c r="O1" s="150"/>
      <c r="P1" s="150"/>
    </row>
    <row r="2" spans="2:16" s="149" customFormat="1" x14ac:dyDescent="0.25">
      <c r="B2" s="151"/>
      <c r="C2" s="152"/>
      <c r="D2" s="153"/>
      <c r="E2" s="152"/>
      <c r="F2" s="152"/>
      <c r="G2" s="152"/>
      <c r="H2" s="152"/>
      <c r="I2" s="152"/>
      <c r="J2" s="152"/>
      <c r="K2" s="152"/>
      <c r="L2" s="152"/>
      <c r="M2" s="154"/>
      <c r="N2" s="150"/>
      <c r="O2" s="150"/>
      <c r="P2" s="150"/>
    </row>
    <row r="3" spans="2:16" s="149" customFormat="1" ht="42" customHeight="1" x14ac:dyDescent="0.25">
      <c r="B3" s="155"/>
      <c r="C3" s="156"/>
      <c r="D3" s="157"/>
      <c r="E3" s="425" t="s">
        <v>113</v>
      </c>
      <c r="F3" s="425"/>
      <c r="G3" s="425"/>
      <c r="H3" s="425"/>
      <c r="I3" s="425"/>
      <c r="J3" s="425"/>
      <c r="K3" s="425"/>
      <c r="L3" s="425"/>
      <c r="M3" s="158"/>
      <c r="N3" s="150"/>
      <c r="O3" s="150"/>
      <c r="P3" s="150"/>
    </row>
    <row r="4" spans="2:16" s="149" customFormat="1" ht="24" customHeight="1" x14ac:dyDescent="0.25">
      <c r="B4" s="155"/>
      <c r="C4" s="159"/>
      <c r="D4" s="157"/>
      <c r="E4" s="160"/>
      <c r="F4" s="156"/>
      <c r="G4" s="156"/>
      <c r="H4" s="157"/>
      <c r="I4" s="157"/>
      <c r="J4" s="161"/>
      <c r="K4" s="161"/>
      <c r="L4" s="161"/>
      <c r="M4" s="158"/>
      <c r="N4" s="150"/>
      <c r="O4" s="150"/>
      <c r="P4" s="150"/>
    </row>
    <row r="5" spans="2:16" s="149" customFormat="1" x14ac:dyDescent="0.25">
      <c r="B5" s="155"/>
      <c r="C5" s="159"/>
      <c r="D5" s="157"/>
      <c r="E5" s="367" t="s">
        <v>17</v>
      </c>
      <c r="F5" s="156"/>
      <c r="G5" s="156"/>
      <c r="H5" s="157"/>
      <c r="I5" s="157"/>
      <c r="J5" s="161"/>
      <c r="K5" s="161"/>
      <c r="L5" s="161"/>
      <c r="M5" s="158"/>
      <c r="N5" s="150"/>
      <c r="O5" s="150"/>
      <c r="P5" s="150"/>
    </row>
    <row r="6" spans="2:16" s="148" customFormat="1" ht="15" customHeight="1" x14ac:dyDescent="0.25">
      <c r="B6" s="155"/>
      <c r="C6" s="159"/>
      <c r="D6" s="160"/>
      <c r="E6" s="424" t="s">
        <v>71</v>
      </c>
      <c r="F6" s="424"/>
      <c r="G6" s="424"/>
      <c r="H6" s="424"/>
      <c r="I6" s="424"/>
      <c r="J6" s="424"/>
      <c r="K6" s="424"/>
      <c r="L6" s="424"/>
      <c r="M6" s="158"/>
      <c r="N6" s="162"/>
      <c r="O6" s="162"/>
      <c r="P6" s="162"/>
    </row>
    <row r="7" spans="2:16" s="368" customFormat="1" ht="21" customHeight="1" x14ac:dyDescent="0.25">
      <c r="B7" s="369"/>
      <c r="C7" s="370"/>
      <c r="D7" s="371"/>
      <c r="E7" s="426" t="s">
        <v>114</v>
      </c>
      <c r="F7" s="426"/>
      <c r="G7" s="426"/>
      <c r="H7" s="426"/>
      <c r="I7" s="426"/>
      <c r="J7" s="426"/>
      <c r="K7" s="426"/>
      <c r="L7" s="426"/>
      <c r="M7" s="372"/>
    </row>
    <row r="8" spans="2:16" s="148" customFormat="1" ht="14.25" customHeight="1" x14ac:dyDescent="0.25">
      <c r="B8" s="155"/>
      <c r="C8" s="159"/>
      <c r="D8" s="160"/>
      <c r="E8" s="367"/>
      <c r="F8" s="163"/>
      <c r="G8" s="156"/>
      <c r="H8" s="156"/>
      <c r="I8" s="156"/>
      <c r="J8" s="164"/>
      <c r="K8" s="165"/>
      <c r="L8" s="165"/>
      <c r="M8" s="158"/>
      <c r="N8" s="162"/>
      <c r="O8" s="162"/>
      <c r="P8" s="162"/>
    </row>
    <row r="9" spans="2:16" s="149" customFormat="1" x14ac:dyDescent="0.25">
      <c r="B9" s="155"/>
      <c r="C9" s="159"/>
      <c r="D9" s="157"/>
      <c r="E9" s="367" t="s">
        <v>51</v>
      </c>
      <c r="F9" s="156"/>
      <c r="G9" s="156"/>
      <c r="H9" s="157"/>
      <c r="I9" s="157"/>
      <c r="J9" s="161"/>
      <c r="K9" s="161"/>
      <c r="L9" s="161"/>
      <c r="M9" s="158"/>
      <c r="N9" s="150"/>
      <c r="O9" s="150"/>
      <c r="P9" s="150"/>
    </row>
    <row r="10" spans="2:16" s="148" customFormat="1" ht="15" customHeight="1" x14ac:dyDescent="0.25">
      <c r="B10" s="155"/>
      <c r="C10" s="159"/>
      <c r="D10" s="160"/>
      <c r="E10" s="429" t="s">
        <v>116</v>
      </c>
      <c r="F10" s="429"/>
      <c r="G10" s="429"/>
      <c r="H10" s="429"/>
      <c r="I10" s="429"/>
      <c r="J10" s="429"/>
      <c r="K10" s="375"/>
      <c r="L10" s="374" t="s">
        <v>117</v>
      </c>
      <c r="M10" s="158"/>
      <c r="N10" s="162"/>
      <c r="O10" s="162"/>
      <c r="P10" s="162"/>
    </row>
    <row r="11" spans="2:16" s="368" customFormat="1" ht="21" customHeight="1" x14ac:dyDescent="0.25">
      <c r="B11" s="369"/>
      <c r="C11" s="370"/>
      <c r="D11" s="371"/>
      <c r="E11" s="426" t="s">
        <v>115</v>
      </c>
      <c r="F11" s="426"/>
      <c r="G11" s="426"/>
      <c r="H11" s="426"/>
      <c r="I11" s="426"/>
      <c r="J11" s="426"/>
      <c r="K11" s="426"/>
      <c r="L11" s="426"/>
      <c r="M11" s="373"/>
    </row>
    <row r="12" spans="2:16" s="148" customFormat="1" ht="14.25" customHeight="1" x14ac:dyDescent="0.25">
      <c r="B12" s="155"/>
      <c r="C12" s="159"/>
      <c r="D12" s="160"/>
      <c r="E12" s="367"/>
      <c r="F12" s="163"/>
      <c r="G12" s="156"/>
      <c r="H12" s="156"/>
      <c r="I12" s="156"/>
      <c r="J12" s="164"/>
      <c r="K12" s="165"/>
      <c r="L12" s="165"/>
      <c r="M12" s="158"/>
      <c r="N12" s="162"/>
      <c r="O12" s="162"/>
      <c r="P12" s="162"/>
    </row>
    <row r="13" spans="2:16" s="149" customFormat="1" x14ac:dyDescent="0.25">
      <c r="B13" s="155"/>
      <c r="C13" s="159"/>
      <c r="D13" s="157"/>
      <c r="E13" s="367" t="s">
        <v>52</v>
      </c>
      <c r="F13" s="156"/>
      <c r="G13" s="156"/>
      <c r="H13" s="157"/>
      <c r="I13" s="157"/>
      <c r="J13" s="161"/>
      <c r="K13" s="161"/>
      <c r="L13" s="161"/>
      <c r="M13" s="158"/>
      <c r="N13" s="150"/>
      <c r="O13" s="150"/>
      <c r="P13" s="150"/>
    </row>
    <row r="14" spans="2:16" s="148" customFormat="1" ht="15" customHeight="1" x14ac:dyDescent="0.25">
      <c r="B14" s="155"/>
      <c r="C14" s="159"/>
      <c r="D14" s="160"/>
      <c r="E14" s="424" t="s">
        <v>104</v>
      </c>
      <c r="F14" s="424"/>
      <c r="G14" s="424"/>
      <c r="H14" s="424"/>
      <c r="I14" s="424"/>
      <c r="J14" s="424"/>
      <c r="K14" s="424"/>
      <c r="L14" s="424"/>
      <c r="M14" s="158"/>
      <c r="N14" s="162"/>
      <c r="O14" s="162"/>
      <c r="P14" s="162"/>
    </row>
    <row r="15" spans="2:16" s="148" customFormat="1" ht="9" customHeight="1" x14ac:dyDescent="0.25">
      <c r="B15" s="155"/>
      <c r="C15" s="159"/>
      <c r="D15" s="160"/>
      <c r="E15" s="367"/>
      <c r="F15" s="367"/>
      <c r="G15" s="367"/>
      <c r="H15" s="156"/>
      <c r="I15" s="156"/>
      <c r="J15" s="164"/>
      <c r="K15" s="165"/>
      <c r="L15" s="165"/>
      <c r="M15" s="158"/>
      <c r="N15" s="162"/>
      <c r="O15" s="162"/>
      <c r="P15" s="162"/>
    </row>
    <row r="16" spans="2:16" s="148" customFormat="1" ht="42" customHeight="1" x14ac:dyDescent="0.25">
      <c r="B16" s="155"/>
      <c r="C16" s="159"/>
      <c r="D16" s="160"/>
      <c r="E16" s="428" t="s">
        <v>63</v>
      </c>
      <c r="F16" s="428"/>
      <c r="G16" s="428"/>
      <c r="H16" s="428"/>
      <c r="I16" s="428"/>
      <c r="J16" s="428"/>
      <c r="K16" s="428"/>
      <c r="L16" s="428"/>
      <c r="M16" s="158"/>
      <c r="N16" s="162"/>
      <c r="O16" s="162"/>
      <c r="P16" s="162"/>
    </row>
    <row r="17" spans="1:25" s="148" customFormat="1" ht="33" customHeight="1" x14ac:dyDescent="0.25">
      <c r="B17" s="155"/>
      <c r="C17" s="159"/>
      <c r="D17" s="160"/>
      <c r="E17" s="163"/>
      <c r="F17" s="163"/>
      <c r="G17" s="163"/>
      <c r="H17" s="156"/>
      <c r="I17" s="156"/>
      <c r="J17" s="164"/>
      <c r="K17" s="165"/>
      <c r="L17" s="165"/>
      <c r="M17" s="158"/>
      <c r="N17" s="162"/>
      <c r="O17" s="162"/>
      <c r="P17" s="162"/>
    </row>
    <row r="18" spans="1:25" s="148" customFormat="1" ht="15" customHeight="1" x14ac:dyDescent="0.25">
      <c r="B18" s="155"/>
      <c r="C18" s="159"/>
      <c r="D18" s="160"/>
      <c r="E18" s="163"/>
      <c r="F18" s="163"/>
      <c r="G18" s="163"/>
      <c r="H18" s="156"/>
      <c r="I18" s="156"/>
      <c r="J18" s="164"/>
      <c r="K18" s="165"/>
      <c r="L18" s="165"/>
      <c r="M18" s="158"/>
      <c r="N18" s="162"/>
      <c r="O18" s="162"/>
      <c r="P18" s="162"/>
    </row>
    <row r="19" spans="1:25" s="149" customFormat="1" x14ac:dyDescent="0.25">
      <c r="B19" s="155"/>
      <c r="C19" s="159"/>
      <c r="D19" s="157"/>
      <c r="E19" s="367" t="s">
        <v>73</v>
      </c>
      <c r="F19" s="156"/>
      <c r="G19" s="156"/>
      <c r="H19" s="157"/>
      <c r="I19" s="157"/>
      <c r="J19" s="161"/>
      <c r="K19" s="161"/>
      <c r="L19" s="161"/>
      <c r="M19" s="158"/>
      <c r="N19" s="150"/>
      <c r="O19" s="150"/>
      <c r="P19" s="150"/>
    </row>
    <row r="20" spans="1:25" s="148" customFormat="1" ht="28.5" customHeight="1" x14ac:dyDescent="0.25">
      <c r="B20" s="155"/>
      <c r="C20" s="159"/>
      <c r="D20" s="160"/>
      <c r="E20" s="427" t="s">
        <v>122</v>
      </c>
      <c r="F20" s="427"/>
      <c r="G20" s="427"/>
      <c r="H20" s="427"/>
      <c r="I20" s="427"/>
      <c r="J20" s="427"/>
      <c r="K20" s="427"/>
      <c r="L20" s="427"/>
      <c r="M20" s="158"/>
      <c r="N20" s="162"/>
      <c r="O20" s="162"/>
      <c r="P20" s="162"/>
    </row>
    <row r="21" spans="1:25" s="148" customFormat="1" ht="24" customHeight="1" x14ac:dyDescent="0.25">
      <c r="B21" s="166"/>
      <c r="C21" s="167"/>
      <c r="D21" s="168"/>
      <c r="E21" s="168"/>
      <c r="F21" s="169"/>
      <c r="G21" s="169"/>
      <c r="H21" s="169"/>
      <c r="I21" s="169"/>
      <c r="J21" s="169"/>
      <c r="K21" s="169"/>
      <c r="L21" s="169"/>
      <c r="M21" s="170"/>
      <c r="N21" s="162"/>
      <c r="O21" s="162"/>
      <c r="P21" s="162"/>
    </row>
    <row r="22" spans="1:25" s="149" customFormat="1" ht="24" customHeight="1" x14ac:dyDescent="0.25">
      <c r="A22" s="171"/>
      <c r="B22" s="172"/>
      <c r="C22" s="173"/>
      <c r="D22" s="174"/>
      <c r="E22" s="72"/>
      <c r="F22" s="172"/>
      <c r="G22" s="172"/>
      <c r="H22" s="172"/>
      <c r="I22" s="175"/>
      <c r="J22" s="175"/>
      <c r="K22" s="175"/>
      <c r="L22" s="175"/>
      <c r="M22" s="175"/>
      <c r="N22" s="176"/>
      <c r="O22" s="176"/>
      <c r="P22" s="176"/>
      <c r="Q22" s="176"/>
      <c r="R22" s="176"/>
    </row>
    <row r="23" spans="1:25" s="181" customFormat="1" ht="18" customHeight="1" x14ac:dyDescent="0.25">
      <c r="A23" s="171"/>
      <c r="B23" s="177"/>
      <c r="C23" s="73"/>
      <c r="D23" s="178"/>
      <c r="E23" s="74"/>
      <c r="F23" s="74"/>
      <c r="G23" s="179"/>
      <c r="H23" s="179"/>
      <c r="I23" s="179"/>
      <c r="J23" s="179"/>
      <c r="K23" s="179"/>
      <c r="L23" s="179"/>
      <c r="M23" s="179"/>
      <c r="N23" s="179"/>
      <c r="O23" s="179"/>
      <c r="P23" s="179"/>
      <c r="Q23" s="179"/>
      <c r="R23" s="179"/>
      <c r="S23" s="180"/>
    </row>
    <row r="24" spans="1:25" s="181" customFormat="1" ht="23.25" customHeight="1" x14ac:dyDescent="0.25">
      <c r="A24" s="171"/>
      <c r="B24" s="182"/>
      <c r="C24" s="75" t="s">
        <v>75</v>
      </c>
      <c r="D24" s="183"/>
      <c r="E24" s="76"/>
      <c r="F24" s="76"/>
      <c r="G24" s="184"/>
      <c r="H24" s="184"/>
      <c r="I24" s="184"/>
      <c r="J24" s="184"/>
      <c r="K24" s="184"/>
      <c r="L24" s="184"/>
      <c r="M24" s="185"/>
      <c r="N24" s="184"/>
      <c r="O24" s="184"/>
      <c r="P24" s="184"/>
      <c r="Q24" s="184"/>
      <c r="R24" s="184"/>
      <c r="S24" s="186"/>
    </row>
    <row r="25" spans="1:25" ht="24.75" customHeight="1" x14ac:dyDescent="0.25">
      <c r="B25" s="188"/>
      <c r="C25" s="418" t="s">
        <v>10</v>
      </c>
      <c r="D25" s="419"/>
      <c r="E25" s="419"/>
      <c r="F25" s="413" t="s">
        <v>12</v>
      </c>
      <c r="G25" s="410" t="s">
        <v>90</v>
      </c>
      <c r="H25" s="411"/>
      <c r="I25" s="411"/>
      <c r="J25" s="412"/>
      <c r="K25" s="409" t="s">
        <v>76</v>
      </c>
      <c r="L25" s="406"/>
      <c r="M25" s="230"/>
      <c r="N25" s="404" t="s">
        <v>105</v>
      </c>
      <c r="O25" s="405"/>
      <c r="P25" s="405"/>
      <c r="Q25" s="405"/>
      <c r="R25" s="406"/>
      <c r="S25" s="186"/>
      <c r="U25" s="404" t="s">
        <v>111</v>
      </c>
      <c r="V25" s="405"/>
      <c r="W25" s="405"/>
      <c r="X25" s="405"/>
      <c r="Y25" s="406"/>
    </row>
    <row r="26" spans="1:25" ht="39" customHeight="1" x14ac:dyDescent="0.25">
      <c r="B26" s="188"/>
      <c r="C26" s="420"/>
      <c r="D26" s="421"/>
      <c r="E26" s="421"/>
      <c r="F26" s="414"/>
      <c r="G26" s="415" t="s">
        <v>54</v>
      </c>
      <c r="H26" s="416"/>
      <c r="I26" s="416" t="s">
        <v>55</v>
      </c>
      <c r="J26" s="417"/>
      <c r="K26" s="190" t="s">
        <v>85</v>
      </c>
      <c r="L26" s="191" t="s">
        <v>84</v>
      </c>
      <c r="M26" s="189"/>
      <c r="N26" s="192" t="s">
        <v>83</v>
      </c>
      <c r="O26" s="193" t="s">
        <v>70</v>
      </c>
      <c r="P26" s="193" t="s">
        <v>19</v>
      </c>
      <c r="Q26" s="193" t="s">
        <v>50</v>
      </c>
      <c r="R26" s="191" t="s">
        <v>3</v>
      </c>
      <c r="S26" s="186"/>
      <c r="U26" s="192" t="s">
        <v>83</v>
      </c>
      <c r="V26" s="193" t="s">
        <v>70</v>
      </c>
      <c r="W26" s="193" t="s">
        <v>19</v>
      </c>
      <c r="X26" s="193" t="s">
        <v>50</v>
      </c>
      <c r="Y26" s="191" t="s">
        <v>3</v>
      </c>
    </row>
    <row r="27" spans="1:25" s="202" customFormat="1" ht="18" customHeight="1" x14ac:dyDescent="0.25">
      <c r="A27" s="187"/>
      <c r="B27" s="194"/>
      <c r="C27" s="422" t="s">
        <v>34</v>
      </c>
      <c r="D27" s="423"/>
      <c r="E27" s="423"/>
      <c r="F27" s="195" t="s">
        <v>1</v>
      </c>
      <c r="G27" s="196">
        <v>1.6</v>
      </c>
      <c r="H27" s="197" t="s">
        <v>4</v>
      </c>
      <c r="I27" s="196">
        <v>6</v>
      </c>
      <c r="J27" s="197" t="s">
        <v>5</v>
      </c>
      <c r="K27" s="362" t="s">
        <v>108</v>
      </c>
      <c r="L27" s="363" t="s">
        <v>108</v>
      </c>
      <c r="M27" s="198"/>
      <c r="N27" s="392">
        <v>1</v>
      </c>
      <c r="O27" s="393">
        <v>0.1</v>
      </c>
      <c r="P27" s="393">
        <v>0.1</v>
      </c>
      <c r="Q27" s="393">
        <v>1</v>
      </c>
      <c r="R27" s="394">
        <v>5</v>
      </c>
      <c r="S27" s="186"/>
      <c r="U27" s="199">
        <v>1</v>
      </c>
      <c r="V27" s="200">
        <v>0.1</v>
      </c>
      <c r="W27" s="200">
        <v>0.1</v>
      </c>
      <c r="X27" s="200">
        <v>1</v>
      </c>
      <c r="Y27" s="201">
        <v>5</v>
      </c>
    </row>
    <row r="28" spans="1:25" s="202" customFormat="1" ht="18" customHeight="1" x14ac:dyDescent="0.25">
      <c r="A28" s="187"/>
      <c r="B28" s="194"/>
      <c r="C28" s="402" t="s">
        <v>34</v>
      </c>
      <c r="D28" s="403"/>
      <c r="E28" s="403"/>
      <c r="F28" s="203" t="s">
        <v>2</v>
      </c>
      <c r="G28" s="204">
        <v>1.6</v>
      </c>
      <c r="H28" s="205" t="s">
        <v>4</v>
      </c>
      <c r="I28" s="204">
        <v>6</v>
      </c>
      <c r="J28" s="205" t="s">
        <v>5</v>
      </c>
      <c r="K28" s="360" t="s">
        <v>108</v>
      </c>
      <c r="L28" s="364" t="s">
        <v>108</v>
      </c>
      <c r="M28" s="198"/>
      <c r="N28" s="395">
        <v>3</v>
      </c>
      <c r="O28" s="396">
        <v>0.5</v>
      </c>
      <c r="P28" s="396">
        <v>0.2</v>
      </c>
      <c r="Q28" s="396">
        <v>3</v>
      </c>
      <c r="R28" s="397">
        <v>5</v>
      </c>
      <c r="S28" s="186"/>
      <c r="U28" s="206">
        <v>3</v>
      </c>
      <c r="V28" s="207">
        <v>0.5</v>
      </c>
      <c r="W28" s="207">
        <v>0.2</v>
      </c>
      <c r="X28" s="207">
        <v>3</v>
      </c>
      <c r="Y28" s="208">
        <v>5</v>
      </c>
    </row>
    <row r="29" spans="1:25" s="202" customFormat="1" ht="18" customHeight="1" x14ac:dyDescent="0.25">
      <c r="A29" s="187"/>
      <c r="B29" s="194"/>
      <c r="C29" s="402" t="s">
        <v>13</v>
      </c>
      <c r="D29" s="403"/>
      <c r="E29" s="403"/>
      <c r="F29" s="203" t="s">
        <v>1</v>
      </c>
      <c r="G29" s="204">
        <v>1</v>
      </c>
      <c r="H29" s="205" t="s">
        <v>4</v>
      </c>
      <c r="I29" s="204">
        <v>3.8</v>
      </c>
      <c r="J29" s="205" t="s">
        <v>5</v>
      </c>
      <c r="K29" s="360" t="s">
        <v>108</v>
      </c>
      <c r="L29" s="364" t="s">
        <v>108</v>
      </c>
      <c r="M29" s="198"/>
      <c r="N29" s="395">
        <v>2</v>
      </c>
      <c r="O29" s="396">
        <v>0.4</v>
      </c>
      <c r="P29" s="396">
        <v>0.1</v>
      </c>
      <c r="Q29" s="396">
        <v>2</v>
      </c>
      <c r="R29" s="397">
        <v>0</v>
      </c>
      <c r="S29" s="186"/>
      <c r="U29" s="206">
        <v>2</v>
      </c>
      <c r="V29" s="207">
        <v>0.4</v>
      </c>
      <c r="W29" s="207">
        <v>0.1</v>
      </c>
      <c r="X29" s="207">
        <v>2</v>
      </c>
      <c r="Y29" s="208">
        <v>0</v>
      </c>
    </row>
    <row r="30" spans="1:25" s="202" customFormat="1" ht="18" customHeight="1" x14ac:dyDescent="0.25">
      <c r="B30" s="194"/>
      <c r="C30" s="402" t="s">
        <v>6</v>
      </c>
      <c r="D30" s="403"/>
      <c r="E30" s="403"/>
      <c r="F30" s="360" t="s">
        <v>108</v>
      </c>
      <c r="G30" s="204">
        <v>0.5</v>
      </c>
      <c r="H30" s="205" t="s">
        <v>7</v>
      </c>
      <c r="I30" s="204">
        <v>1.9</v>
      </c>
      <c r="J30" s="205" t="s">
        <v>8</v>
      </c>
      <c r="K30" s="207">
        <v>30</v>
      </c>
      <c r="L30" s="208">
        <v>0</v>
      </c>
      <c r="M30" s="198"/>
      <c r="N30" s="395">
        <v>3</v>
      </c>
      <c r="O30" s="396">
        <v>0.5</v>
      </c>
      <c r="P30" s="396">
        <v>0.2</v>
      </c>
      <c r="Q30" s="396">
        <v>3</v>
      </c>
      <c r="R30" s="397">
        <v>0</v>
      </c>
      <c r="S30" s="186"/>
      <c r="U30" s="206">
        <v>3</v>
      </c>
      <c r="V30" s="207">
        <v>0.5</v>
      </c>
      <c r="W30" s="207">
        <v>0.2</v>
      </c>
      <c r="X30" s="207">
        <v>3</v>
      </c>
      <c r="Y30" s="208">
        <v>0</v>
      </c>
    </row>
    <row r="31" spans="1:25" s="202" customFormat="1" ht="18" customHeight="1" x14ac:dyDescent="0.25">
      <c r="B31" s="194"/>
      <c r="C31" s="402" t="s">
        <v>64</v>
      </c>
      <c r="D31" s="403"/>
      <c r="E31" s="403"/>
      <c r="F31" s="360" t="s">
        <v>108</v>
      </c>
      <c r="G31" s="204">
        <v>2.2000000000000002</v>
      </c>
      <c r="H31" s="205" t="s">
        <v>7</v>
      </c>
      <c r="I31" s="204">
        <v>8.3000000000000007</v>
      </c>
      <c r="J31" s="205" t="s">
        <v>8</v>
      </c>
      <c r="K31" s="207">
        <v>30</v>
      </c>
      <c r="L31" s="208">
        <v>60</v>
      </c>
      <c r="M31" s="198"/>
      <c r="N31" s="395">
        <v>0</v>
      </c>
      <c r="O31" s="396">
        <v>0</v>
      </c>
      <c r="P31" s="396">
        <v>0</v>
      </c>
      <c r="Q31" s="396">
        <v>1</v>
      </c>
      <c r="R31" s="397">
        <v>5</v>
      </c>
      <c r="S31" s="186"/>
      <c r="U31" s="206">
        <v>0</v>
      </c>
      <c r="V31" s="207">
        <v>0</v>
      </c>
      <c r="W31" s="207">
        <v>0</v>
      </c>
      <c r="X31" s="207">
        <v>0</v>
      </c>
      <c r="Y31" s="208">
        <v>5</v>
      </c>
    </row>
    <row r="32" spans="1:25" s="202" customFormat="1" ht="18" customHeight="1" x14ac:dyDescent="0.25">
      <c r="B32" s="194"/>
      <c r="C32" s="402" t="s">
        <v>9</v>
      </c>
      <c r="D32" s="403"/>
      <c r="E32" s="403"/>
      <c r="F32" s="360" t="s">
        <v>108</v>
      </c>
      <c r="G32" s="204">
        <v>2.2000000000000002</v>
      </c>
      <c r="H32" s="205" t="s">
        <v>7</v>
      </c>
      <c r="I32" s="204">
        <v>8.3000000000000007</v>
      </c>
      <c r="J32" s="205" t="s">
        <v>8</v>
      </c>
      <c r="K32" s="207">
        <v>15</v>
      </c>
      <c r="L32" s="208">
        <v>60</v>
      </c>
      <c r="M32" s="198"/>
      <c r="N32" s="395">
        <v>1</v>
      </c>
      <c r="O32" s="396">
        <v>0</v>
      </c>
      <c r="P32" s="396">
        <v>0</v>
      </c>
      <c r="Q32" s="396">
        <v>3</v>
      </c>
      <c r="R32" s="397">
        <v>4</v>
      </c>
      <c r="S32" s="186"/>
      <c r="U32" s="206">
        <v>1</v>
      </c>
      <c r="V32" s="207">
        <v>0</v>
      </c>
      <c r="W32" s="207">
        <v>0</v>
      </c>
      <c r="X32" s="207">
        <v>0</v>
      </c>
      <c r="Y32" s="208">
        <v>4</v>
      </c>
    </row>
    <row r="33" spans="2:25" s="202" customFormat="1" ht="18" customHeight="1" x14ac:dyDescent="0.25">
      <c r="B33" s="194"/>
      <c r="C33" s="407" t="s">
        <v>14</v>
      </c>
      <c r="D33" s="408"/>
      <c r="E33" s="408"/>
      <c r="F33" s="361" t="s">
        <v>108</v>
      </c>
      <c r="G33" s="209">
        <v>2.5</v>
      </c>
      <c r="H33" s="210" t="s">
        <v>7</v>
      </c>
      <c r="I33" s="209">
        <v>9.5</v>
      </c>
      <c r="J33" s="210" t="s">
        <v>8</v>
      </c>
      <c r="K33" s="211">
        <v>300</v>
      </c>
      <c r="L33" s="212">
        <v>480</v>
      </c>
      <c r="M33" s="198"/>
      <c r="N33" s="398">
        <v>0.1</v>
      </c>
      <c r="O33" s="399">
        <v>0</v>
      </c>
      <c r="P33" s="399">
        <v>0</v>
      </c>
      <c r="Q33" s="399">
        <v>1</v>
      </c>
      <c r="R33" s="400">
        <v>1</v>
      </c>
      <c r="S33" s="186"/>
      <c r="U33" s="213">
        <v>0.1</v>
      </c>
      <c r="V33" s="211">
        <v>0</v>
      </c>
      <c r="W33" s="211">
        <v>0</v>
      </c>
      <c r="X33" s="211">
        <v>0</v>
      </c>
      <c r="Y33" s="212">
        <v>1</v>
      </c>
    </row>
    <row r="34" spans="2:25" s="202" customFormat="1" ht="15" customHeight="1" x14ac:dyDescent="0.25">
      <c r="B34" s="194"/>
      <c r="C34" s="366" t="b">
        <v>0</v>
      </c>
      <c r="D34" s="365"/>
      <c r="E34" s="365"/>
      <c r="F34" s="365"/>
      <c r="G34" s="365"/>
      <c r="H34" s="365"/>
      <c r="I34" s="365"/>
      <c r="J34" s="365"/>
      <c r="K34" s="365"/>
      <c r="L34" s="365"/>
      <c r="M34" s="365"/>
      <c r="N34" s="365"/>
      <c r="O34" s="365"/>
      <c r="P34" s="365"/>
      <c r="Q34" s="365"/>
      <c r="R34" s="365"/>
      <c r="S34" s="186"/>
    </row>
    <row r="35" spans="2:25" s="202" customFormat="1" ht="23.25" customHeight="1" x14ac:dyDescent="0.25">
      <c r="B35" s="194"/>
      <c r="C35" s="359" t="s">
        <v>110</v>
      </c>
      <c r="D35" s="358"/>
      <c r="E35" s="358"/>
      <c r="F35" s="358"/>
      <c r="G35" s="358"/>
      <c r="H35" s="358"/>
      <c r="I35" s="358"/>
      <c r="J35" s="358"/>
      <c r="K35" s="358"/>
      <c r="L35" s="358"/>
      <c r="M35" s="358"/>
      <c r="N35" s="358"/>
      <c r="O35" s="358"/>
      <c r="P35" s="358"/>
      <c r="Q35" s="358"/>
      <c r="R35" s="358"/>
      <c r="S35" s="186"/>
    </row>
    <row r="36" spans="2:25" s="202" customFormat="1" ht="27" customHeight="1" x14ac:dyDescent="0.25">
      <c r="B36" s="194"/>
      <c r="C36" s="401" t="s">
        <v>112</v>
      </c>
      <c r="D36" s="401"/>
      <c r="E36" s="401"/>
      <c r="F36" s="401"/>
      <c r="G36" s="401"/>
      <c r="H36" s="401"/>
      <c r="I36" s="401"/>
      <c r="J36" s="401"/>
      <c r="K36" s="401"/>
      <c r="L36" s="401"/>
      <c r="M36" s="401"/>
      <c r="N36" s="401"/>
      <c r="O36" s="401"/>
      <c r="P36" s="401"/>
      <c r="Q36" s="401"/>
      <c r="R36" s="401"/>
      <c r="S36" s="186"/>
    </row>
    <row r="37" spans="2:25" ht="15" customHeight="1" x14ac:dyDescent="0.25">
      <c r="B37" s="214"/>
      <c r="C37" s="215"/>
      <c r="D37" s="215"/>
      <c r="E37" s="215"/>
      <c r="F37" s="215"/>
      <c r="G37" s="215"/>
      <c r="H37" s="215"/>
      <c r="I37" s="215"/>
      <c r="J37" s="215"/>
      <c r="K37" s="215"/>
      <c r="L37" s="215"/>
      <c r="M37" s="215"/>
      <c r="N37" s="215"/>
      <c r="O37" s="215"/>
      <c r="P37" s="215"/>
      <c r="Q37" s="215"/>
      <c r="R37" s="215"/>
      <c r="S37" s="216"/>
    </row>
    <row r="38" spans="2:25" ht="9" customHeight="1" x14ac:dyDescent="0.25"/>
    <row r="39" spans="2:25" ht="12" customHeight="1" x14ac:dyDescent="0.25">
      <c r="S39" s="389" t="s">
        <v>123</v>
      </c>
      <c r="U39" s="217" t="s">
        <v>53</v>
      </c>
    </row>
    <row r="40" spans="2:25" ht="12" customHeight="1" x14ac:dyDescent="0.25">
      <c r="S40" s="389" t="s">
        <v>124</v>
      </c>
      <c r="U40" s="229">
        <f>IF(L10="IP units",1,2)</f>
        <v>1</v>
      </c>
      <c r="V40" s="218" t="s">
        <v>74</v>
      </c>
    </row>
    <row r="41" spans="2:25" ht="12" customHeight="1" x14ac:dyDescent="0.25">
      <c r="S41" s="390" t="s">
        <v>125</v>
      </c>
    </row>
    <row r="42" spans="2:25" ht="12" customHeight="1" x14ac:dyDescent="0.25">
      <c r="S42" s="391" t="s">
        <v>126</v>
      </c>
      <c r="U42" s="219"/>
      <c r="V42" s="220" t="s">
        <v>34</v>
      </c>
      <c r="W42" s="221" t="s">
        <v>13</v>
      </c>
    </row>
    <row r="43" spans="2:25" ht="24" x14ac:dyDescent="0.25">
      <c r="U43" s="222" t="s">
        <v>34</v>
      </c>
      <c r="V43" s="223" t="s">
        <v>28</v>
      </c>
      <c r="W43" s="223" t="s">
        <v>31</v>
      </c>
    </row>
    <row r="44" spans="2:25" ht="24" x14ac:dyDescent="0.25">
      <c r="J44" s="224"/>
      <c r="K44" s="224"/>
      <c r="L44" s="224"/>
      <c r="M44" s="224"/>
      <c r="N44" s="224"/>
      <c r="O44" s="224"/>
      <c r="P44" s="224"/>
      <c r="Q44" s="225"/>
      <c r="R44" s="226"/>
      <c r="S44" s="225"/>
      <c r="T44" s="226"/>
      <c r="U44" s="222" t="s">
        <v>13</v>
      </c>
      <c r="V44" s="223" t="s">
        <v>29</v>
      </c>
      <c r="W44" s="223" t="s">
        <v>32</v>
      </c>
    </row>
    <row r="45" spans="2:25" ht="24" x14ac:dyDescent="0.25">
      <c r="U45" s="227"/>
      <c r="V45" s="223" t="s">
        <v>68</v>
      </c>
      <c r="W45" s="223" t="s">
        <v>33</v>
      </c>
    </row>
    <row r="46" spans="2:25" ht="24" x14ac:dyDescent="0.25">
      <c r="U46" s="227"/>
      <c r="V46" s="223" t="s">
        <v>30</v>
      </c>
      <c r="W46" s="228"/>
    </row>
  </sheetData>
  <sheetProtection algorithmName="SHA-512" hashValue="UGnALrTctF+40bm7QS53VkUNUhGc9lv5YY6kJNHfZWSMHE2Gyb9XQemXhxVdUStav593BZHZYl2/3s1LvexOfw==" saltValue="CstL+7lThZjl7DFBwv2y9g==" spinCount="100000" sheet="1" objects="1" scenarios="1"/>
  <mergeCells count="24">
    <mergeCell ref="E6:L6"/>
    <mergeCell ref="E3:L3"/>
    <mergeCell ref="E11:L11"/>
    <mergeCell ref="E7:L7"/>
    <mergeCell ref="E20:L20"/>
    <mergeCell ref="E16:L16"/>
    <mergeCell ref="E14:L14"/>
    <mergeCell ref="E10:J10"/>
    <mergeCell ref="C36:R36"/>
    <mergeCell ref="C31:E31"/>
    <mergeCell ref="U25:Y25"/>
    <mergeCell ref="C32:E32"/>
    <mergeCell ref="C33:E33"/>
    <mergeCell ref="N25:R25"/>
    <mergeCell ref="K25:L25"/>
    <mergeCell ref="G25:J25"/>
    <mergeCell ref="F25:F26"/>
    <mergeCell ref="G26:H26"/>
    <mergeCell ref="I26:J26"/>
    <mergeCell ref="C25:E26"/>
    <mergeCell ref="C27:E27"/>
    <mergeCell ref="C28:E28"/>
    <mergeCell ref="C29:E29"/>
    <mergeCell ref="C30:E30"/>
  </mergeCells>
  <conditionalFormatting sqref="N27:R33">
    <cfRule type="expression" dxfId="3" priority="2">
      <formula>IF($C$34=FALSE,TRUE,FALSE)</formula>
    </cfRule>
  </conditionalFormatting>
  <conditionalFormatting sqref="N27:R33">
    <cfRule type="expression" dxfId="2" priority="1">
      <formula>IF(N27=U27,FALSE,TRUE)</formula>
    </cfRule>
  </conditionalFormatting>
  <dataValidations count="1">
    <dataValidation type="list" allowBlank="1" showInputMessage="1" showErrorMessage="1" sqref="L10">
      <formula1>"IP units, SI units"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copyTab">
                <anchor>
                  <from>
                    <xdr:col>4</xdr:col>
                    <xdr:colOff>9525</xdr:colOff>
                    <xdr:row>16</xdr:row>
                    <xdr:rowOff>19050</xdr:rowOff>
                  </from>
                  <to>
                    <xdr:col>4</xdr:col>
                    <xdr:colOff>1390650</xdr:colOff>
                    <xdr:row>16</xdr:row>
                    <xdr:rowOff>285750</xdr:rowOff>
                  </to>
                </anchor>
              </controlPr>
            </control>
          </mc:Choice>
        </mc:AlternateContent>
        <mc:AlternateContent xmlns:mc="http://schemas.openxmlformats.org/markup-compatibility/2006">
          <mc:Choice Requires="x14">
            <control shapeId="2061" r:id="rId5" name="Button 13">
              <controlPr defaultSize="0" print="0" autoFill="0" autoPict="0" macro="[0]!Go_to_WS">
                <anchor>
                  <from>
                    <xdr:col>4</xdr:col>
                    <xdr:colOff>1485900</xdr:colOff>
                    <xdr:row>16</xdr:row>
                    <xdr:rowOff>19050</xdr:rowOff>
                  </from>
                  <to>
                    <xdr:col>6</xdr:col>
                    <xdr:colOff>95250</xdr:colOff>
                    <xdr:row>16</xdr:row>
                    <xdr:rowOff>285750</xdr:rowOff>
                  </to>
                </anchor>
              </controlPr>
            </control>
          </mc:Choice>
        </mc:AlternateContent>
        <mc:AlternateContent xmlns:mc="http://schemas.openxmlformats.org/markup-compatibility/2006">
          <mc:Choice Requires="x14">
            <control shapeId="2062" r:id="rId6" name="Check Box 14">
              <controlPr defaultSize="0" autoFill="0" autoLine="0" autoPict="0" macro="[0]!DailyUse">
                <anchor moveWithCells="1">
                  <from>
                    <xdr:col>2</xdr:col>
                    <xdr:colOff>28575</xdr:colOff>
                    <xdr:row>34</xdr:row>
                    <xdr:rowOff>28575</xdr:rowOff>
                  </from>
                  <to>
                    <xdr:col>4</xdr:col>
                    <xdr:colOff>66675</xdr:colOff>
                    <xdr:row>34</xdr:row>
                    <xdr:rowOff>247650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92"/>
  <sheetViews>
    <sheetView showGridLines="0" zoomScale="90" zoomScaleNormal="90" zoomScalePageLayoutView="80" workbookViewId="0">
      <selection activeCell="A64" sqref="A64"/>
    </sheetView>
  </sheetViews>
  <sheetFormatPr defaultColWidth="9.140625" defaultRowHeight="12.75" x14ac:dyDescent="0.25"/>
  <cols>
    <col min="1" max="1" width="2.42578125" style="84" customWidth="1"/>
    <col min="2" max="2" width="6.85546875" style="84" customWidth="1"/>
    <col min="3" max="3" width="30.7109375" style="84" customWidth="1"/>
    <col min="4" max="8" width="12.7109375" style="84" customWidth="1"/>
    <col min="9" max="9" width="12.42578125" style="84" customWidth="1"/>
    <col min="10" max="10" width="2.5703125" style="84" customWidth="1"/>
    <col min="11" max="22" width="12.7109375" style="84" customWidth="1"/>
    <col min="23" max="23" width="2.5703125" style="84" customWidth="1"/>
    <col min="24" max="24" width="12.7109375" style="84" customWidth="1"/>
    <col min="25" max="31" width="12.7109375" style="84" hidden="1" customWidth="1"/>
    <col min="32" max="16384" width="9.140625" style="84"/>
  </cols>
  <sheetData>
    <row r="1" spans="1:31" ht="15" customHeight="1" x14ac:dyDescent="0.25">
      <c r="A1" s="82"/>
      <c r="B1" s="82"/>
      <c r="C1" s="83"/>
      <c r="D1" s="82"/>
      <c r="E1" s="82"/>
      <c r="F1" s="82"/>
      <c r="G1" s="82"/>
      <c r="H1" s="82"/>
      <c r="I1" s="82"/>
      <c r="J1" s="82"/>
      <c r="K1" s="82"/>
      <c r="L1" s="82"/>
      <c r="M1" s="82"/>
      <c r="N1" s="82"/>
      <c r="O1" s="82"/>
      <c r="P1" s="82"/>
      <c r="Q1" s="82"/>
      <c r="R1" s="82"/>
      <c r="S1" s="82"/>
      <c r="T1" s="82"/>
      <c r="U1" s="82"/>
      <c r="V1" s="82"/>
      <c r="W1" s="82"/>
      <c r="X1" s="82"/>
    </row>
    <row r="2" spans="1:31" ht="24.75" x14ac:dyDescent="0.25">
      <c r="A2" s="47"/>
      <c r="B2" s="70" t="str">
        <f ca="1">REPLACE(CELL("filename",A1),1,FIND("]",CELL("filename",A1)),"")</f>
        <v>Base Calc</v>
      </c>
      <c r="C2" s="48"/>
      <c r="D2" s="48"/>
      <c r="E2" s="49"/>
      <c r="F2" s="48"/>
      <c r="G2" s="48"/>
      <c r="H2" s="48"/>
      <c r="I2" s="48"/>
      <c r="J2" s="48"/>
      <c r="K2" s="48"/>
      <c r="L2" s="48"/>
      <c r="M2" s="48"/>
      <c r="N2" s="48"/>
      <c r="O2" s="48"/>
      <c r="P2" s="48"/>
      <c r="Q2" s="48"/>
      <c r="R2" s="48"/>
      <c r="S2" s="48"/>
      <c r="T2" s="48"/>
      <c r="U2" s="48"/>
      <c r="V2" s="48"/>
      <c r="W2" s="48"/>
      <c r="X2" s="48"/>
    </row>
    <row r="3" spans="1:31" ht="15" customHeight="1" x14ac:dyDescent="0.25">
      <c r="A3" s="82"/>
      <c r="B3" s="82"/>
      <c r="C3" s="83"/>
      <c r="D3" s="82"/>
      <c r="E3" s="82"/>
      <c r="F3" s="82"/>
      <c r="G3" s="82"/>
      <c r="H3" s="82"/>
      <c r="I3" s="82"/>
      <c r="J3" s="82"/>
      <c r="K3" s="82"/>
      <c r="L3" s="82"/>
      <c r="M3" s="82"/>
      <c r="N3" s="82"/>
      <c r="O3" s="82"/>
      <c r="P3" s="82"/>
      <c r="Q3" s="82"/>
      <c r="R3" s="82"/>
      <c r="S3" s="82"/>
      <c r="T3" s="82"/>
      <c r="U3" s="82"/>
      <c r="V3" s="82"/>
      <c r="W3" s="82"/>
      <c r="X3" s="82"/>
    </row>
    <row r="4" spans="1:31" s="85" customFormat="1" ht="30.75" customHeight="1" x14ac:dyDescent="0.2">
      <c r="B4" s="69" t="s">
        <v>18</v>
      </c>
    </row>
    <row r="5" spans="1:31" s="85" customFormat="1" ht="48" customHeight="1" x14ac:dyDescent="0.25">
      <c r="B5" s="430" t="s">
        <v>120</v>
      </c>
      <c r="C5" s="431"/>
      <c r="D5" s="431"/>
      <c r="E5" s="431"/>
      <c r="F5" s="431"/>
      <c r="G5" s="431"/>
      <c r="H5" s="431"/>
      <c r="I5" s="431"/>
      <c r="J5" s="144"/>
      <c r="K5" s="144"/>
      <c r="L5" s="144"/>
      <c r="M5" s="144"/>
      <c r="N5" s="144"/>
      <c r="O5" s="144"/>
      <c r="P5" s="144"/>
      <c r="Q5" s="144"/>
      <c r="R5" s="86"/>
      <c r="S5" s="86"/>
      <c r="T5" s="86"/>
      <c r="U5" s="86"/>
      <c r="AB5" s="443" t="s">
        <v>42</v>
      </c>
      <c r="AC5" s="444"/>
      <c r="AD5" s="443" t="s">
        <v>43</v>
      </c>
      <c r="AE5" s="444"/>
    </row>
    <row r="6" spans="1:31" s="87" customFormat="1" ht="50.25" customHeight="1" x14ac:dyDescent="0.25">
      <c r="B6" s="142"/>
      <c r="C6" s="143"/>
      <c r="D6" s="132" t="s">
        <v>78</v>
      </c>
      <c r="E6" s="133" t="s">
        <v>70</v>
      </c>
      <c r="F6" s="133" t="s">
        <v>19</v>
      </c>
      <c r="G6" s="377" t="s">
        <v>118</v>
      </c>
      <c r="H6" s="133" t="s">
        <v>3</v>
      </c>
      <c r="I6" s="376" t="s">
        <v>109</v>
      </c>
      <c r="J6" s="145"/>
      <c r="K6" s="144"/>
      <c r="L6" s="144"/>
      <c r="M6" s="144"/>
      <c r="N6" s="144"/>
      <c r="O6" s="144"/>
      <c r="P6" s="144"/>
      <c r="Q6" s="144"/>
      <c r="R6" s="78"/>
      <c r="S6" s="86"/>
      <c r="T6" s="78"/>
      <c r="AB6" s="106" t="s">
        <v>44</v>
      </c>
      <c r="AC6" s="106" t="s">
        <v>45</v>
      </c>
      <c r="AD6" s="106" t="s">
        <v>44</v>
      </c>
      <c r="AE6" s="106" t="s">
        <v>45</v>
      </c>
    </row>
    <row r="7" spans="1:31" ht="15" customHeight="1" x14ac:dyDescent="0.25">
      <c r="B7" s="436" t="s">
        <v>0</v>
      </c>
      <c r="C7" s="437"/>
      <c r="D7" s="231"/>
      <c r="E7" s="232"/>
      <c r="F7" s="232"/>
      <c r="G7" s="232"/>
      <c r="H7" s="232"/>
      <c r="I7" s="233"/>
      <c r="J7" s="146"/>
      <c r="K7" s="100"/>
      <c r="L7" s="100"/>
      <c r="M7" s="100"/>
      <c r="N7" s="100"/>
      <c r="O7" s="100"/>
      <c r="P7" s="100"/>
      <c r="Q7" s="100"/>
      <c r="R7" s="79"/>
      <c r="S7" s="85"/>
      <c r="T7" s="80"/>
      <c r="Y7" s="441" t="s">
        <v>15</v>
      </c>
      <c r="Z7" s="50" t="s">
        <v>57</v>
      </c>
      <c r="AA7" s="340">
        <f>I22</f>
        <v>0</v>
      </c>
      <c r="AB7" s="42" t="str">
        <f>IF(I19="Yes",B19,"")</f>
        <v/>
      </c>
      <c r="AC7" s="43" t="str">
        <f t="array" aca="1" ref="AC7" ca="1">IFERROR(INDEX(AB7:AB9,SMALL((IF(LEN(AB7:AB9),ROW(INDIRECT("1:"&amp;ROWS(AB7:AB9))))),ROW(A1)),1),"")</f>
        <v/>
      </c>
      <c r="AD7" s="42" t="str">
        <f>IF(I45="Yes",B45,"")</f>
        <v/>
      </c>
      <c r="AE7" s="42" t="str">
        <f t="array" aca="1" ref="AE7" ca="1">IFERROR(INDEX(AD7:AD10,SMALL((IF(LEN(AD7:AD10),ROW(INDIRECT("1:"&amp;ROWS(AD7:AD10))))),ROW(A1)),1),"")</f>
        <v/>
      </c>
    </row>
    <row r="8" spans="1:31" ht="15" customHeight="1" x14ac:dyDescent="0.25">
      <c r="B8" s="432" t="s">
        <v>1</v>
      </c>
      <c r="C8" s="433"/>
      <c r="D8" s="234">
        <f t="shared" ref="D8:I8" si="0">D7/2</f>
        <v>0</v>
      </c>
      <c r="E8" s="235">
        <f t="shared" si="0"/>
        <v>0</v>
      </c>
      <c r="F8" s="235">
        <f t="shared" si="0"/>
        <v>0</v>
      </c>
      <c r="G8" s="235">
        <f t="shared" si="0"/>
        <v>0</v>
      </c>
      <c r="H8" s="235">
        <f t="shared" si="0"/>
        <v>0</v>
      </c>
      <c r="I8" s="236">
        <f t="shared" si="0"/>
        <v>0</v>
      </c>
      <c r="J8" s="146"/>
      <c r="K8" s="100"/>
      <c r="L8" s="100"/>
      <c r="M8" s="100"/>
      <c r="N8" s="100"/>
      <c r="O8" s="100"/>
      <c r="P8" s="100"/>
      <c r="Q8" s="100"/>
      <c r="R8" s="81"/>
      <c r="S8" s="85"/>
      <c r="T8" s="81"/>
      <c r="Y8" s="442"/>
      <c r="Z8" s="50" t="s">
        <v>56</v>
      </c>
      <c r="AA8" s="340">
        <f>I49</f>
        <v>0</v>
      </c>
      <c r="AB8" s="44" t="str">
        <f>IF(I20="Yes",B20,"")</f>
        <v/>
      </c>
      <c r="AC8" s="45" t="str">
        <f t="array" aca="1" ref="AC8" ca="1">IFERROR(INDEX(AB7:AB9,SMALL((IF(LEN(AB7:AB9),ROW(INDIRECT("1:"&amp;ROWS(AB7:AB9))))),ROW(A2)),1),"")</f>
        <v/>
      </c>
      <c r="AD8" s="44" t="str">
        <f>IF(I46="Yes",B46,"")</f>
        <v/>
      </c>
      <c r="AE8" s="44" t="str">
        <f t="array" aca="1" ref="AE8" ca="1">IFERROR(INDEX(AD7:AD10,SMALL((IF(LEN(AD7:AD10),ROW(INDIRECT("1:"&amp;ROWS(AD7:AD10))))),ROW(A2)),1),"")</f>
        <v/>
      </c>
    </row>
    <row r="9" spans="1:31" ht="15" customHeight="1" x14ac:dyDescent="0.25">
      <c r="B9" s="434" t="s">
        <v>2</v>
      </c>
      <c r="C9" s="435"/>
      <c r="D9" s="237">
        <f t="shared" ref="D9:I9" si="1">D7/2</f>
        <v>0</v>
      </c>
      <c r="E9" s="238">
        <f t="shared" si="1"/>
        <v>0</v>
      </c>
      <c r="F9" s="238">
        <f t="shared" si="1"/>
        <v>0</v>
      </c>
      <c r="G9" s="238">
        <f t="shared" si="1"/>
        <v>0</v>
      </c>
      <c r="H9" s="238">
        <f t="shared" si="1"/>
        <v>0</v>
      </c>
      <c r="I9" s="239">
        <f t="shared" si="1"/>
        <v>0</v>
      </c>
      <c r="J9" s="146"/>
      <c r="K9" s="100"/>
      <c r="L9" s="100"/>
      <c r="M9" s="100"/>
      <c r="N9" s="100"/>
      <c r="O9" s="100"/>
      <c r="P9" s="100"/>
      <c r="Q9" s="100"/>
      <c r="R9" s="81"/>
      <c r="S9" s="85"/>
      <c r="T9" s="81"/>
      <c r="Y9" s="452" t="s">
        <v>58</v>
      </c>
      <c r="Z9" s="50" t="s">
        <v>57</v>
      </c>
      <c r="AA9" s="341">
        <f>I37</f>
        <v>0</v>
      </c>
      <c r="AB9" s="44" t="str">
        <f>IF(I21="Yes",B21,"")</f>
        <v/>
      </c>
      <c r="AC9" s="45" t="str">
        <f t="array" aca="1" ref="AC9" ca="1">IFERROR(INDEX(AB7:AB9,SMALL((IF(LEN(AB7:AB9),ROW(INDIRECT("1:"&amp;ROWS(AB7:AB9))))),ROW(A3)),1),"")</f>
        <v/>
      </c>
      <c r="AD9" s="44" t="str">
        <f>IF(I47="Yes",B47,"")</f>
        <v/>
      </c>
      <c r="AE9" s="44" t="str">
        <f t="array" aca="1" ref="AE9" ca="1">IFERROR(INDEX(AD7:AD10,SMALL((IF(LEN(AD7:AD10),ROW(INDIRECT("1:"&amp;ROWS(AD7:AD10))))),ROW(A3)),1),"")</f>
        <v/>
      </c>
    </row>
    <row r="10" spans="1:31" ht="42" customHeight="1" x14ac:dyDescent="0.2">
      <c r="B10" s="440" t="s">
        <v>119</v>
      </c>
      <c r="C10" s="440"/>
      <c r="D10" s="440"/>
      <c r="E10" s="440"/>
      <c r="F10" s="440"/>
      <c r="G10" s="440"/>
      <c r="H10" s="440"/>
      <c r="I10" s="440"/>
      <c r="J10" s="100"/>
      <c r="K10" s="100"/>
      <c r="L10" s="100"/>
      <c r="R10" s="85"/>
      <c r="S10" s="85"/>
      <c r="T10" s="85"/>
      <c r="Y10" s="453"/>
      <c r="Z10" s="50" t="s">
        <v>56</v>
      </c>
      <c r="AA10" s="341">
        <f>I64</f>
        <v>0</v>
      </c>
      <c r="AD10" s="44" t="str">
        <f>IF(I48="Yes",B48,"")</f>
        <v/>
      </c>
      <c r="AE10" s="44" t="str">
        <f t="array" aca="1" ref="AE10" ca="1">IFERROR(INDEX(AD7:AD10,SMALL((IF(LEN(AD7:AD10),ROW(INDIRECT("1:"&amp;ROWS(AD7:AD10))))),ROW(A4)),1),"")</f>
        <v/>
      </c>
    </row>
    <row r="11" spans="1:31" ht="23.25" customHeight="1" x14ac:dyDescent="0.25">
      <c r="B11" s="438" t="s">
        <v>48</v>
      </c>
      <c r="C11" s="439"/>
      <c r="D11" s="439"/>
      <c r="E11" s="439"/>
      <c r="F11" s="439"/>
      <c r="G11" s="439"/>
      <c r="H11" s="439"/>
      <c r="I11" s="240">
        <v>1</v>
      </c>
      <c r="J11" s="100"/>
      <c r="K11" s="378"/>
      <c r="L11" s="147"/>
      <c r="M11" s="51"/>
      <c r="N11" s="51"/>
      <c r="O11" s="51"/>
      <c r="P11" s="51"/>
      <c r="Q11" s="51"/>
      <c r="R11" s="51"/>
      <c r="S11" s="51"/>
      <c r="T11" s="51"/>
      <c r="U11" s="51"/>
    </row>
    <row r="12" spans="1:31" ht="27" customHeight="1" x14ac:dyDescent="0.2">
      <c r="B12" s="491" t="s">
        <v>121</v>
      </c>
      <c r="C12" s="491"/>
      <c r="D12" s="491"/>
      <c r="E12" s="491"/>
      <c r="F12" s="491"/>
      <c r="G12" s="491"/>
      <c r="H12" s="491"/>
      <c r="I12" s="491"/>
      <c r="J12" s="100"/>
      <c r="K12" s="100"/>
      <c r="L12" s="100"/>
    </row>
    <row r="13" spans="1:31" ht="24" customHeight="1" x14ac:dyDescent="0.25">
      <c r="B13" s="438" t="s">
        <v>24</v>
      </c>
      <c r="C13" s="439"/>
      <c r="D13" s="439"/>
      <c r="E13" s="439"/>
      <c r="F13" s="439"/>
      <c r="G13" s="439"/>
      <c r="H13" s="439"/>
      <c r="I13" s="241">
        <v>365</v>
      </c>
      <c r="J13" s="100"/>
      <c r="K13" s="100"/>
      <c r="L13" s="147"/>
      <c r="M13" s="51"/>
      <c r="N13" s="51"/>
      <c r="O13" s="51"/>
      <c r="P13" s="51"/>
      <c r="Q13" s="51"/>
      <c r="R13" s="51"/>
      <c r="S13" s="51"/>
      <c r="T13" s="51"/>
      <c r="U13" s="51"/>
    </row>
    <row r="14" spans="1:31" ht="24" customHeight="1" x14ac:dyDescent="0.25">
      <c r="B14" s="102" t="str">
        <f>IF(I13&gt;365,"Annual days of operation must be between 1 and 365.","")</f>
        <v/>
      </c>
      <c r="J14" s="100"/>
      <c r="K14" s="100"/>
      <c r="L14" s="100"/>
    </row>
    <row r="15" spans="1:31" s="85" customFormat="1" ht="24" customHeight="1" x14ac:dyDescent="0.2">
      <c r="B15" s="69" t="s">
        <v>25</v>
      </c>
      <c r="E15" s="52"/>
      <c r="F15" s="52"/>
      <c r="G15" s="52"/>
      <c r="H15" s="52"/>
      <c r="I15" s="52"/>
      <c r="J15" s="52"/>
      <c r="K15" s="52"/>
      <c r="L15" s="52"/>
      <c r="M15" s="52"/>
      <c r="N15" s="52"/>
      <c r="O15" s="52"/>
      <c r="P15" s="52"/>
      <c r="Q15" s="52"/>
      <c r="R15" s="52"/>
      <c r="S15" s="52"/>
      <c r="T15" s="52"/>
      <c r="U15" s="52"/>
    </row>
    <row r="16" spans="1:31" s="85" customFormat="1" ht="48" customHeight="1" x14ac:dyDescent="0.25">
      <c r="B16" s="451" t="s">
        <v>80</v>
      </c>
      <c r="C16" s="451"/>
      <c r="D16" s="451"/>
      <c r="E16" s="451"/>
      <c r="F16" s="451"/>
      <c r="G16" s="451"/>
      <c r="H16" s="451"/>
      <c r="I16" s="451"/>
      <c r="J16" s="451"/>
      <c r="K16" s="451"/>
      <c r="L16" s="451"/>
      <c r="M16" s="451"/>
      <c r="N16" s="451"/>
      <c r="O16" s="451"/>
      <c r="P16" s="451"/>
      <c r="Q16" s="451"/>
      <c r="R16" s="451"/>
      <c r="S16" s="451"/>
      <c r="T16" s="451"/>
      <c r="U16" s="451"/>
      <c r="V16" s="451"/>
      <c r="W16" s="451"/>
      <c r="X16" s="451"/>
    </row>
    <row r="17" spans="1:27" ht="19.5" customHeight="1" x14ac:dyDescent="0.25">
      <c r="B17" s="454" t="s">
        <v>11</v>
      </c>
      <c r="C17" s="456" t="s">
        <v>26</v>
      </c>
      <c r="D17" s="460"/>
      <c r="E17" s="460"/>
      <c r="F17" s="460"/>
      <c r="G17" s="456" t="s">
        <v>12</v>
      </c>
      <c r="H17" s="456" t="str">
        <f>IF(Instructions!U40=1,"Default Flush Rate 
(gpf)","Default Flush Rate 
(lpf)")</f>
        <v>Default Flush Rate 
(gpf)</v>
      </c>
      <c r="I17" s="464" t="s">
        <v>81</v>
      </c>
      <c r="J17" s="109"/>
      <c r="K17" s="470" t="s">
        <v>79</v>
      </c>
      <c r="L17" s="448"/>
      <c r="M17" s="470" t="s">
        <v>70</v>
      </c>
      <c r="N17" s="469"/>
      <c r="O17" s="447" t="s">
        <v>19</v>
      </c>
      <c r="P17" s="448"/>
      <c r="Q17" s="470" t="s">
        <v>50</v>
      </c>
      <c r="R17" s="469"/>
      <c r="S17" s="447" t="s">
        <v>3</v>
      </c>
      <c r="T17" s="448"/>
      <c r="U17" s="470" t="str">
        <f>IF($I$6="Other (please specify)","Other",$I$6)</f>
        <v>Other (specify)</v>
      </c>
      <c r="V17" s="469"/>
      <c r="W17" s="131"/>
      <c r="X17" s="449" t="str">
        <f>IF(Instructions!$U$40=1,"Total Daily Water Use 
(gpf)","Total Daily Water Use 
(lpf)")</f>
        <v>Total Daily Water Use 
(gpf)</v>
      </c>
    </row>
    <row r="18" spans="1:27" s="90" customFormat="1" ht="54" customHeight="1" x14ac:dyDescent="0.25">
      <c r="B18" s="455"/>
      <c r="C18" s="461"/>
      <c r="D18" s="461"/>
      <c r="E18" s="461"/>
      <c r="F18" s="461"/>
      <c r="G18" s="457"/>
      <c r="H18" s="457"/>
      <c r="I18" s="465"/>
      <c r="J18" s="128"/>
      <c r="K18" s="108" t="s">
        <v>77</v>
      </c>
      <c r="L18" s="89" t="str">
        <f>IF(Instructions!$U$40=1,"Daily Water Use 
(gpf)","Daily Water Use 
(lpf)")</f>
        <v>Daily Water Use 
(gpf)</v>
      </c>
      <c r="M18" s="108" t="s">
        <v>77</v>
      </c>
      <c r="N18" s="91" t="str">
        <f>IF(Instructions!$U$40=1,"Daily Water Use 
(gpf)","Daily Water Use 
(lpf)")</f>
        <v>Daily Water Use 
(gpf)</v>
      </c>
      <c r="O18" s="124" t="s">
        <v>77</v>
      </c>
      <c r="P18" s="89" t="str">
        <f>IF(Instructions!$U$40=1,"Daily Water Use 
(gpf)","Daily Water Use 
(lpf)")</f>
        <v>Daily Water Use 
(gpf)</v>
      </c>
      <c r="Q18" s="108" t="s">
        <v>77</v>
      </c>
      <c r="R18" s="91" t="str">
        <f>IF(Instructions!$U$40=1,"Daily Water Use 
(gpf)","Daily Water Use 
(lpf)")</f>
        <v>Daily Water Use 
(gpf)</v>
      </c>
      <c r="S18" s="124" t="s">
        <v>77</v>
      </c>
      <c r="T18" s="89" t="str">
        <f>IF(Instructions!$U$40=1,"Daily Water Use 
(gpf)","Daily Water Use 
(lpf)")</f>
        <v>Daily Water Use 
(gpf)</v>
      </c>
      <c r="U18" s="108" t="s">
        <v>77</v>
      </c>
      <c r="V18" s="91" t="str">
        <f>IF(Instructions!$U$40=1,"Daily Water Use 
(gpf)","Daily Water Use 
(lpf)")</f>
        <v>Daily Water Use 
(gpf)</v>
      </c>
      <c r="W18" s="92"/>
      <c r="X18" s="450"/>
      <c r="Y18" s="53"/>
      <c r="Z18" s="53"/>
      <c r="AA18" s="53"/>
    </row>
    <row r="19" spans="1:27" ht="15" customHeight="1" x14ac:dyDescent="0.25">
      <c r="B19" s="242" t="s">
        <v>35</v>
      </c>
      <c r="C19" s="462" t="str">
        <f>Instructions!$C$27</f>
        <v xml:space="preserve">Toilet </v>
      </c>
      <c r="D19" s="463"/>
      <c r="E19" s="463"/>
      <c r="F19" s="463"/>
      <c r="G19" s="243" t="str">
        <f>Instructions!$F$27</f>
        <v>Male</v>
      </c>
      <c r="H19" s="244">
        <f>IF(Instructions!$U$40=1,Instructions!$G$27,Instructions!$I$27)</f>
        <v>1.6</v>
      </c>
      <c r="I19" s="245"/>
      <c r="J19" s="93"/>
      <c r="K19" s="347">
        <f>Instructions!N27+((1-I11)*Instructions!N28)</f>
        <v>1</v>
      </c>
      <c r="L19" s="324">
        <f>H19*D8*K19</f>
        <v>0</v>
      </c>
      <c r="M19" s="348">
        <f>Instructions!O27+((1-I11)*Instructions!O28)</f>
        <v>0.1</v>
      </c>
      <c r="N19" s="321">
        <f>$H19*E8*M19</f>
        <v>0</v>
      </c>
      <c r="O19" s="349">
        <f>Instructions!P27+((1-I11)*Instructions!P28)</f>
        <v>0.1</v>
      </c>
      <c r="P19" s="324">
        <f>$H19*F8*O19</f>
        <v>0</v>
      </c>
      <c r="Q19" s="350">
        <f>Instructions!Q27+((1-I11)*Instructions!Q28)</f>
        <v>1</v>
      </c>
      <c r="R19" s="321">
        <f>$H19*G8*Q19</f>
        <v>0</v>
      </c>
      <c r="S19" s="349">
        <f>Instructions!R27+((1-I11)*Instructions!R28)</f>
        <v>5</v>
      </c>
      <c r="T19" s="324">
        <f>$H19*H8*S19</f>
        <v>0</v>
      </c>
      <c r="U19" s="254"/>
      <c r="V19" s="312">
        <f>$H19*I8*U19</f>
        <v>0</v>
      </c>
      <c r="W19" s="332"/>
      <c r="X19" s="333">
        <f>IF(I19="Yes",SUM(L19,R19,N19,P19,T19,V19),0)</f>
        <v>0</v>
      </c>
      <c r="Y19" s="56"/>
      <c r="Z19" s="46"/>
      <c r="AA19" s="46"/>
    </row>
    <row r="20" spans="1:27" ht="15" customHeight="1" x14ac:dyDescent="0.25">
      <c r="B20" s="246" t="s">
        <v>36</v>
      </c>
      <c r="C20" s="458" t="str">
        <f>Instructions!$C$28</f>
        <v xml:space="preserve">Toilet </v>
      </c>
      <c r="D20" s="459"/>
      <c r="E20" s="459"/>
      <c r="F20" s="459"/>
      <c r="G20" s="247" t="str">
        <f>Instructions!$F$28</f>
        <v>Female</v>
      </c>
      <c r="H20" s="248">
        <f>IF(Instructions!$U$40=1,Instructions!$G$28,Instructions!$I$28)</f>
        <v>1.6</v>
      </c>
      <c r="I20" s="249"/>
      <c r="J20" s="93"/>
      <c r="K20" s="351">
        <f>Instructions!$N$28</f>
        <v>3</v>
      </c>
      <c r="L20" s="325">
        <f>H20*D9*K20</f>
        <v>0</v>
      </c>
      <c r="M20" s="352">
        <f>Instructions!$O$28</f>
        <v>0.5</v>
      </c>
      <c r="N20" s="322">
        <f>$H20*E9*M20</f>
        <v>0</v>
      </c>
      <c r="O20" s="353">
        <f>Instructions!$P$28</f>
        <v>0.2</v>
      </c>
      <c r="P20" s="325">
        <f>$H20*F9*O20</f>
        <v>0</v>
      </c>
      <c r="Q20" s="352">
        <f>Instructions!$Q$28</f>
        <v>3</v>
      </c>
      <c r="R20" s="322">
        <f>$H20*G9*Q20</f>
        <v>0</v>
      </c>
      <c r="S20" s="353">
        <f>Instructions!$R$28</f>
        <v>5</v>
      </c>
      <c r="T20" s="325">
        <f>$H20*H9*S20</f>
        <v>0</v>
      </c>
      <c r="U20" s="255"/>
      <c r="V20" s="313">
        <f>$H20*I9*U20</f>
        <v>0</v>
      </c>
      <c r="W20" s="332"/>
      <c r="X20" s="334">
        <f>IF(I20="Yes",SUM(L20,R20,N20,P20,T20,V20),0)</f>
        <v>0</v>
      </c>
      <c r="Y20" s="56"/>
      <c r="Z20" s="46"/>
      <c r="AA20" s="46"/>
    </row>
    <row r="21" spans="1:27" ht="15" customHeight="1" x14ac:dyDescent="0.25">
      <c r="B21" s="250" t="s">
        <v>37</v>
      </c>
      <c r="C21" s="481" t="str">
        <f>Instructions!$C$29</f>
        <v>Urinal</v>
      </c>
      <c r="D21" s="482"/>
      <c r="E21" s="482"/>
      <c r="F21" s="482"/>
      <c r="G21" s="251" t="str">
        <f>Instructions!$F$29</f>
        <v>Male</v>
      </c>
      <c r="H21" s="252">
        <f>IF(Instructions!$U$40=1,Instructions!$G$29,Instructions!$I$29)</f>
        <v>1</v>
      </c>
      <c r="I21" s="253"/>
      <c r="J21" s="93"/>
      <c r="K21" s="354">
        <f>Instructions!N29*I11</f>
        <v>2</v>
      </c>
      <c r="L21" s="326">
        <f>H21*D8*K21</f>
        <v>0</v>
      </c>
      <c r="M21" s="355">
        <f>Instructions!O29*I11</f>
        <v>0.4</v>
      </c>
      <c r="N21" s="323">
        <f>$H21*E8*M21</f>
        <v>0</v>
      </c>
      <c r="O21" s="356">
        <f>Instructions!P29*I11</f>
        <v>0.1</v>
      </c>
      <c r="P21" s="326">
        <f>$H21*F8*O21</f>
        <v>0</v>
      </c>
      <c r="Q21" s="355">
        <f>Instructions!Q29*I11</f>
        <v>2</v>
      </c>
      <c r="R21" s="323">
        <f>$H21*G8*Q21</f>
        <v>0</v>
      </c>
      <c r="S21" s="356">
        <f>Instructions!$R$29*I11</f>
        <v>0</v>
      </c>
      <c r="T21" s="326">
        <f>$H21*H8*S21</f>
        <v>0</v>
      </c>
      <c r="U21" s="256"/>
      <c r="V21" s="314">
        <f>$H21*I8*U21</f>
        <v>0</v>
      </c>
      <c r="W21" s="335"/>
      <c r="X21" s="336">
        <f>IF(I21="Yes",SUM(L21,R21,N21,P21,T21,V21),0)</f>
        <v>0</v>
      </c>
      <c r="AA21" s="46"/>
    </row>
    <row r="22" spans="1:27" ht="24.75" customHeight="1" x14ac:dyDescent="0.25">
      <c r="B22" s="77" t="str">
        <f>IF(Instructions!$U$40=1,"Baseline case annual flush volume (gallons/year)","Baseline case annual flush volume (liters/year)")</f>
        <v>Baseline case annual flush volume (gallons/year)</v>
      </c>
      <c r="C22" s="94"/>
      <c r="D22" s="94"/>
      <c r="E22" s="94"/>
      <c r="F22" s="94"/>
      <c r="G22" s="94"/>
      <c r="H22" s="94"/>
      <c r="I22" s="339">
        <f>(SUM(X19:X21)*$I$13)</f>
        <v>0</v>
      </c>
      <c r="J22" s="122"/>
      <c r="K22" s="94"/>
      <c r="L22" s="94"/>
      <c r="M22" s="94"/>
      <c r="N22" s="94"/>
      <c r="O22" s="94"/>
      <c r="P22" s="94"/>
      <c r="Q22" s="94"/>
      <c r="R22" s="94"/>
      <c r="S22" s="94"/>
      <c r="T22" s="95"/>
      <c r="U22" s="94"/>
      <c r="V22" s="94"/>
      <c r="W22" s="122"/>
      <c r="X22" s="103"/>
    </row>
    <row r="23" spans="1:27" ht="25.5" customHeight="1" x14ac:dyDescent="0.25">
      <c r="C23" s="85"/>
      <c r="D23" s="85"/>
      <c r="E23" s="85"/>
      <c r="F23" s="85"/>
      <c r="G23" s="85"/>
      <c r="H23" s="85"/>
      <c r="I23" s="85"/>
      <c r="J23" s="85"/>
      <c r="K23" s="85"/>
      <c r="L23" s="85"/>
      <c r="M23" s="85"/>
      <c r="N23" s="85"/>
      <c r="Q23" s="96"/>
      <c r="R23" s="96"/>
    </row>
    <row r="24" spans="1:27" ht="21" customHeight="1" x14ac:dyDescent="0.25">
      <c r="B24" s="121" t="s">
        <v>91</v>
      </c>
      <c r="C24" s="85"/>
      <c r="D24" s="85"/>
      <c r="E24" s="85"/>
      <c r="F24" s="85"/>
      <c r="G24" s="85"/>
      <c r="H24" s="85"/>
      <c r="I24" s="85"/>
      <c r="J24" s="85"/>
      <c r="K24" s="85"/>
      <c r="L24" s="85"/>
      <c r="M24" s="85"/>
      <c r="N24" s="85"/>
      <c r="Q24" s="96"/>
      <c r="R24" s="96"/>
    </row>
    <row r="25" spans="1:27" ht="51.75" customHeight="1" x14ac:dyDescent="0.25">
      <c r="B25" s="445" t="s">
        <v>89</v>
      </c>
      <c r="C25" s="446"/>
      <c r="D25" s="97" t="str">
        <f>IF(Instructions!$U$40=1,"Low Flush
(gpf)","Low Flush
(lpf)")</f>
        <v>Low Flush
(gpf)</v>
      </c>
      <c r="E25" s="97" t="str">
        <f>IF(Instructions!$U$40=1,"High Flush
(gpf)","High Flush
(lpf)")</f>
        <v>High Flush
(gpf)</v>
      </c>
      <c r="F25" s="97" t="str">
        <f>IF(Instructions!$U$40=1,"Average Flush Rate
(gpf)","Average Flush Rate
(lpf)")</f>
        <v>Average Flush Rate
(gpf)</v>
      </c>
      <c r="H25" s="85"/>
      <c r="I25" s="85"/>
      <c r="J25" s="85"/>
      <c r="K25" s="85"/>
      <c r="L25" s="85"/>
      <c r="M25" s="85"/>
      <c r="N25" s="85"/>
      <c r="Q25" s="96"/>
      <c r="R25" s="96"/>
    </row>
    <row r="26" spans="1:27" ht="21" customHeight="1" x14ac:dyDescent="0.25">
      <c r="B26" s="445"/>
      <c r="C26" s="446"/>
      <c r="D26" s="258"/>
      <c r="E26" s="258"/>
      <c r="F26" s="257">
        <f>((D26*2)+E26)/3</f>
        <v>0</v>
      </c>
    </row>
    <row r="27" spans="1:27" ht="24.75" customHeight="1" x14ac:dyDescent="0.25">
      <c r="C27" s="85"/>
      <c r="D27" s="85"/>
      <c r="E27" s="85"/>
      <c r="F27" s="85"/>
      <c r="G27" s="85"/>
      <c r="H27" s="85"/>
      <c r="I27" s="85"/>
      <c r="J27" s="85"/>
      <c r="K27" s="85"/>
      <c r="L27" s="85"/>
      <c r="M27" s="85"/>
      <c r="N27" s="85"/>
      <c r="Q27" s="96"/>
      <c r="R27" s="96"/>
    </row>
    <row r="28" spans="1:27" ht="24" customHeight="1" x14ac:dyDescent="0.2">
      <c r="B28" s="69" t="s">
        <v>20</v>
      </c>
      <c r="E28" s="54"/>
      <c r="F28" s="55"/>
      <c r="G28" s="55"/>
      <c r="H28" s="55"/>
      <c r="I28" s="55"/>
      <c r="J28" s="55"/>
      <c r="K28" s="55"/>
      <c r="L28" s="55"/>
      <c r="M28" s="55"/>
      <c r="N28" s="55"/>
      <c r="O28" s="55"/>
      <c r="P28" s="55"/>
      <c r="Q28" s="55"/>
      <c r="R28" s="55"/>
      <c r="S28" s="55"/>
      <c r="T28" s="55"/>
      <c r="U28" s="55"/>
    </row>
    <row r="29" spans="1:27" ht="81" customHeight="1" x14ac:dyDescent="0.25">
      <c r="B29" s="451" t="s">
        <v>49</v>
      </c>
      <c r="C29" s="451"/>
      <c r="D29" s="451"/>
      <c r="E29" s="451"/>
      <c r="F29" s="451"/>
      <c r="G29" s="451"/>
      <c r="H29" s="451"/>
      <c r="I29" s="451"/>
      <c r="J29" s="451"/>
      <c r="K29" s="451"/>
      <c r="L29" s="451"/>
      <c r="M29" s="451"/>
      <c r="N29" s="451"/>
      <c r="O29" s="451"/>
      <c r="P29" s="451"/>
      <c r="Q29" s="451"/>
      <c r="R29" s="451"/>
      <c r="S29" s="451"/>
      <c r="T29" s="451"/>
      <c r="U29" s="451"/>
      <c r="V29" s="451"/>
      <c r="W29" s="451"/>
      <c r="X29" s="451"/>
    </row>
    <row r="30" spans="1:27" ht="21.75" customHeight="1" x14ac:dyDescent="0.25">
      <c r="B30" s="454" t="s">
        <v>11</v>
      </c>
      <c r="C30" s="456" t="s">
        <v>16</v>
      </c>
      <c r="D30" s="456"/>
      <c r="E30" s="464" t="s">
        <v>12</v>
      </c>
      <c r="F30" s="470" t="s">
        <v>21</v>
      </c>
      <c r="G30" s="469"/>
      <c r="H30" s="487" t="str">
        <f>IF(Instructions!U40=1,"Flush Rate 
(gpf)","Flush Rate 
(lpf)")</f>
        <v>Flush Rate 
(gpf)</v>
      </c>
      <c r="I30" s="485" t="s">
        <v>93</v>
      </c>
      <c r="J30" s="129"/>
      <c r="K30" s="470" t="s">
        <v>79</v>
      </c>
      <c r="L30" s="469"/>
      <c r="M30" s="447" t="s">
        <v>70</v>
      </c>
      <c r="N30" s="448"/>
      <c r="O30" s="470" t="s">
        <v>19</v>
      </c>
      <c r="P30" s="469"/>
      <c r="Q30" s="447" t="s">
        <v>50</v>
      </c>
      <c r="R30" s="448"/>
      <c r="S30" s="470" t="s">
        <v>3</v>
      </c>
      <c r="T30" s="469"/>
      <c r="U30" s="447" t="str">
        <f>IF($I$6="Other (please specify)","Other",$I$6)</f>
        <v>Other (specify)</v>
      </c>
      <c r="V30" s="448"/>
      <c r="W30" s="123"/>
      <c r="X30" s="449" t="str">
        <f>IF(Instructions!$U$40=1,"Total Daily Water Use 
(gpf)","Total Daily Water Use 
(lpf)")</f>
        <v>Total Daily Water Use 
(gpf)</v>
      </c>
    </row>
    <row r="31" spans="1:27" s="90" customFormat="1" ht="55.9" customHeight="1" x14ac:dyDescent="0.25">
      <c r="B31" s="455"/>
      <c r="C31" s="457"/>
      <c r="D31" s="457"/>
      <c r="E31" s="465"/>
      <c r="F31" s="108" t="s">
        <v>82</v>
      </c>
      <c r="G31" s="113" t="s">
        <v>22</v>
      </c>
      <c r="H31" s="488"/>
      <c r="I31" s="486"/>
      <c r="J31" s="130"/>
      <c r="K31" s="108" t="s">
        <v>77</v>
      </c>
      <c r="L31" s="91" t="str">
        <f>IF(Instructions!$U$40=1,"Daily Water Use 
(gpf)","Daily Water Use 
(lpf)")</f>
        <v>Daily Water Use 
(gpf)</v>
      </c>
      <c r="M31" s="124" t="s">
        <v>77</v>
      </c>
      <c r="N31" s="89" t="str">
        <f>IF(Instructions!$U$40=1,"Daily Water Use 
(gpf)","Daily Water Use 
(lpf)")</f>
        <v>Daily Water Use 
(gpf)</v>
      </c>
      <c r="O31" s="108" t="s">
        <v>77</v>
      </c>
      <c r="P31" s="91" t="str">
        <f>IF(Instructions!$U$40=1,"Daily Water Use 
(gpf)","Daily Water Use 
(lpf)")</f>
        <v>Daily Water Use 
(gpf)</v>
      </c>
      <c r="Q31" s="124" t="s">
        <v>77</v>
      </c>
      <c r="R31" s="89" t="str">
        <f>IF(Instructions!$U$40=1,"Daily Water Use 
(gpf)","Daily Water Use 
(lpf)")</f>
        <v>Daily Water Use 
(gpf)</v>
      </c>
      <c r="S31" s="108" t="s">
        <v>77</v>
      </c>
      <c r="T31" s="91" t="str">
        <f>IF(Instructions!$U$40=1,"Daily Water Use 
(gpf)","Daily Water Use 
(lpf)")</f>
        <v>Daily Water Use 
(gpf)</v>
      </c>
      <c r="U31" s="124" t="s">
        <v>77</v>
      </c>
      <c r="V31" s="89" t="str">
        <f>IF(Instructions!$U$40=1,"Daily Water Use 
(gpf)","Daily Water Use 
(lpf)")</f>
        <v>Daily Water Use 
(gpf)</v>
      </c>
      <c r="W31" s="71"/>
      <c r="X31" s="450"/>
    </row>
    <row r="32" spans="1:27" ht="15" customHeight="1" x14ac:dyDescent="0.25">
      <c r="A32" s="338">
        <f>IF(B32&gt;=0,0,0)</f>
        <v>0</v>
      </c>
      <c r="B32" s="259"/>
      <c r="C32" s="483"/>
      <c r="D32" s="483"/>
      <c r="E32" s="260" t="str">
        <f>IF(ISBLANK(B32),"",VLOOKUP(B32,$B$17:$V$21,6,0))</f>
        <v/>
      </c>
      <c r="F32" s="261"/>
      <c r="G32" s="261"/>
      <c r="H32" s="262"/>
      <c r="I32" s="263"/>
      <c r="J32" s="98"/>
      <c r="K32" s="274">
        <f>IF(ISBLANK(B32),0,VLOOKUP($B32,$B$18:$V$21,10,0))</f>
        <v>0</v>
      </c>
      <c r="L32" s="312">
        <f>IF(E32="Male",H32*K32*D$8*(I32/100),H32*K32*D$9*(I32/100))</f>
        <v>0</v>
      </c>
      <c r="M32" s="275">
        <f>IF(ISBLANK(B32),0,VLOOKUP($B32,$B$18:$V$21,12,0))</f>
        <v>0</v>
      </c>
      <c r="N32" s="315">
        <f>IF(E32="Male",$H32*M32*E$8*($I32/100),$H32*M32*E$9*($I32/100))</f>
        <v>0</v>
      </c>
      <c r="O32" s="276">
        <f>IF(ISBLANK(B32),0,VLOOKUP($B32,$B$18:$V$21,14,0))</f>
        <v>0</v>
      </c>
      <c r="P32" s="312">
        <f>IF(E32="Male",$H32*O32*F$8*($I32/100),$H32*O32*F$9*($I32/100))</f>
        <v>0</v>
      </c>
      <c r="Q32" s="275">
        <f>IF(ISBLANK(B32),0,VLOOKUP($B32,$B$18:$V$21,16,0))</f>
        <v>0</v>
      </c>
      <c r="R32" s="315">
        <f>IF(E32="Male",$H32*Q32*G$8*($I32/100),$H32*Q32*G$9*($I32/100))</f>
        <v>0</v>
      </c>
      <c r="S32" s="276">
        <f>IF(ISBLANK(B32),0,VLOOKUP($B32,$B$18:$V$21,18,0))</f>
        <v>0</v>
      </c>
      <c r="T32" s="312">
        <f>IF(E32="Male",$H32*S32*H$8*($I32/100),$H32*S32*H$9*($I32/100))</f>
        <v>0</v>
      </c>
      <c r="U32" s="275">
        <f>IF(ISBLANK(B32),0,VLOOKUP($B32,$B$18:$V$21,20,0))</f>
        <v>0</v>
      </c>
      <c r="V32" s="312">
        <f>IF(E32="Male",$H32*U32*I$8*($I32/100),$H32*U32*I$9*($I32/100))</f>
        <v>0</v>
      </c>
      <c r="W32" s="330"/>
      <c r="X32" s="318">
        <f>SUM(L32,R32,N32,P32,T32,V32)</f>
        <v>0</v>
      </c>
    </row>
    <row r="33" spans="1:26" ht="15" customHeight="1" x14ac:dyDescent="0.25">
      <c r="A33" s="338">
        <f t="shared" ref="A33:A34" si="2">IF(B33&gt;=0,0,0)</f>
        <v>0</v>
      </c>
      <c r="B33" s="264"/>
      <c r="C33" s="479"/>
      <c r="D33" s="479"/>
      <c r="E33" s="265" t="str">
        <f>IF(ISBLANK(B33),"",VLOOKUP(B33,$B$17:$V$21,6,0))</f>
        <v/>
      </c>
      <c r="F33" s="266"/>
      <c r="G33" s="266"/>
      <c r="H33" s="267"/>
      <c r="I33" s="268"/>
      <c r="J33" s="98"/>
      <c r="K33" s="274">
        <f t="shared" ref="K33:K36" si="3">IF(ISBLANK(B33),0,VLOOKUP($B33,$B$18:$V$21,10,0))</f>
        <v>0</v>
      </c>
      <c r="L33" s="313">
        <f>IF(E33="Male",H33*K33*D$8*(I33/100),H33*K33*D$9*(I33/100))</f>
        <v>0</v>
      </c>
      <c r="M33" s="277">
        <f t="shared" ref="M33:M36" si="4">IF(ISBLANK(B33),0,VLOOKUP($B33,$B$18:$V$21,12,0))</f>
        <v>0</v>
      </c>
      <c r="N33" s="316">
        <f>IF(E33="Male",$H33*M33*E$8*($I33/100),$H33*M33*E$9*($I33/100))</f>
        <v>0</v>
      </c>
      <c r="O33" s="278">
        <f t="shared" ref="O33:O36" si="5">IF(ISBLANK(B33),0,VLOOKUP($B33,$B$18:$V$21,14,0))</f>
        <v>0</v>
      </c>
      <c r="P33" s="313">
        <f>IF(E33="Male",$H33*O33*F$8*($I33/100),$H33*O33*F$9*($I33/100))</f>
        <v>0</v>
      </c>
      <c r="Q33" s="277">
        <f t="shared" ref="Q33:Q36" si="6">IF(ISBLANK(B33),0,VLOOKUP($B33,$B$18:$V$21,16,0))</f>
        <v>0</v>
      </c>
      <c r="R33" s="316">
        <f>IF(E33="Male",$H33*Q33*G$8*($I33/100),$H33*Q33*G$9*($I33/100))</f>
        <v>0</v>
      </c>
      <c r="S33" s="278">
        <f t="shared" ref="S33:S36" si="7">IF(ISBLANK(B33),0,VLOOKUP($B33,$B$18:$V$21,18,0))</f>
        <v>0</v>
      </c>
      <c r="T33" s="313">
        <f>IF(E33="Male",$H33*S33*H$8*($I33/100),$H33*S33*H$9*($I33/100))</f>
        <v>0</v>
      </c>
      <c r="U33" s="277">
        <f t="shared" ref="U33:U36" si="8">IF(ISBLANK(B33),0,VLOOKUP($B33,$B$18:$V$21,20,0))</f>
        <v>0</v>
      </c>
      <c r="V33" s="313">
        <f>IF(E33="Male",$H33*U33*I$8*($I33/100),$H33*U33*I$9*($I33/100))</f>
        <v>0</v>
      </c>
      <c r="W33" s="330"/>
      <c r="X33" s="319">
        <f>SUM(L33,R33,N33,P33,T33,V33)</f>
        <v>0</v>
      </c>
    </row>
    <row r="34" spans="1:26" ht="15" customHeight="1" x14ac:dyDescent="0.25">
      <c r="A34" s="338">
        <f t="shared" si="2"/>
        <v>0</v>
      </c>
      <c r="B34" s="264"/>
      <c r="C34" s="479"/>
      <c r="D34" s="479"/>
      <c r="E34" s="265" t="str">
        <f>IF(ISBLANK(B34),"",VLOOKUP(B34,$B$17:$V$21,6,0))</f>
        <v/>
      </c>
      <c r="F34" s="266"/>
      <c r="G34" s="266"/>
      <c r="H34" s="267"/>
      <c r="I34" s="268"/>
      <c r="J34" s="98"/>
      <c r="K34" s="274">
        <f t="shared" si="3"/>
        <v>0</v>
      </c>
      <c r="L34" s="313">
        <f>IF(E34="Male",H34*K34*D$8*(I34/100),H34*K34*D$9*(I34/100))</f>
        <v>0</v>
      </c>
      <c r="M34" s="277">
        <f t="shared" si="4"/>
        <v>0</v>
      </c>
      <c r="N34" s="316">
        <f>IF(E34="Male",$H34*M34*E$8*($I34/100),$H34*M34*E$9*($I34/100))</f>
        <v>0</v>
      </c>
      <c r="O34" s="278">
        <f t="shared" si="5"/>
        <v>0</v>
      </c>
      <c r="P34" s="313">
        <f>IF(E34="Male",$H34*O34*F$8*($I34/100),$H34*O34*F$9*($I34/100))</f>
        <v>0</v>
      </c>
      <c r="Q34" s="277">
        <f t="shared" si="6"/>
        <v>0</v>
      </c>
      <c r="R34" s="316">
        <f>IF(E34="Male",$H34*Q34*G$8*($I34/100),$H34*Q34*G$9*($I34/100))</f>
        <v>0</v>
      </c>
      <c r="S34" s="278">
        <f t="shared" si="7"/>
        <v>0</v>
      </c>
      <c r="T34" s="313">
        <f>IF(E34="Male",$H34*S34*H$8*($I34/100),$H34*S34*H$9*($I34/100))</f>
        <v>0</v>
      </c>
      <c r="U34" s="277">
        <f t="shared" si="8"/>
        <v>0</v>
      </c>
      <c r="V34" s="313">
        <f>IF(E34="Male",$H34*U34*I$8*($I34/100),$H34*U34*I$9*($I34/100))</f>
        <v>0</v>
      </c>
      <c r="W34" s="330"/>
      <c r="X34" s="319">
        <f>SUM(L34,R34,N34,P34,T34,V34)</f>
        <v>0</v>
      </c>
    </row>
    <row r="35" spans="1:26" ht="15" customHeight="1" x14ac:dyDescent="0.25">
      <c r="A35" s="338"/>
      <c r="B35" s="264"/>
      <c r="C35" s="479"/>
      <c r="D35" s="479"/>
      <c r="E35" s="265" t="str">
        <f>IF(ISBLANK(B35),"",VLOOKUP(B35,$B$17:$V$21,6,0))</f>
        <v/>
      </c>
      <c r="F35" s="266"/>
      <c r="G35" s="266"/>
      <c r="H35" s="267"/>
      <c r="I35" s="268"/>
      <c r="J35" s="98"/>
      <c r="K35" s="274">
        <f t="shared" si="3"/>
        <v>0</v>
      </c>
      <c r="L35" s="313">
        <f>IF(E35="Male",H35*K35*D$8*(I35/100),H35*K35*D$9*(I35/100))</f>
        <v>0</v>
      </c>
      <c r="M35" s="277">
        <f t="shared" si="4"/>
        <v>0</v>
      </c>
      <c r="N35" s="316">
        <f>IF(E35="Male",$H35*M35*E$8*($I35/100),$H35*M35*E$9*($I35/100))</f>
        <v>0</v>
      </c>
      <c r="O35" s="278">
        <f t="shared" si="5"/>
        <v>0</v>
      </c>
      <c r="P35" s="313">
        <f>IF(E35="Male",$H35*O35*F$8*($I35/100),$H35*O35*F$9*($I35/100))</f>
        <v>0</v>
      </c>
      <c r="Q35" s="277">
        <f t="shared" si="6"/>
        <v>0</v>
      </c>
      <c r="R35" s="316">
        <f>IF(E35="Male",$H35*Q35*G$8*($I35/100),$H35*Q35*G$9*($I35/100))</f>
        <v>0</v>
      </c>
      <c r="S35" s="278">
        <f t="shared" si="7"/>
        <v>0</v>
      </c>
      <c r="T35" s="313">
        <f>IF(E35="Male",$H35*S35*H$8*($I35/100),$H35*S35*H$9*($I35/100))</f>
        <v>0</v>
      </c>
      <c r="U35" s="277">
        <f t="shared" si="8"/>
        <v>0</v>
      </c>
      <c r="V35" s="313">
        <f>IF(E35="Male",$H35*U35*I$8*($I35/100),$H35*U35*I$9*($I35/100))</f>
        <v>0</v>
      </c>
      <c r="W35" s="330"/>
      <c r="X35" s="319">
        <f>SUM(L35,R35,N35,P35,T35,V35)</f>
        <v>0</v>
      </c>
    </row>
    <row r="36" spans="1:26" ht="15" customHeight="1" x14ac:dyDescent="0.25">
      <c r="A36" s="338"/>
      <c r="B36" s="269"/>
      <c r="C36" s="480"/>
      <c r="D36" s="480"/>
      <c r="E36" s="270" t="str">
        <f>IF(ISBLANK(B36),"",VLOOKUP(B36,$B$17:$V$21,6,0))</f>
        <v/>
      </c>
      <c r="F36" s="271"/>
      <c r="G36" s="271"/>
      <c r="H36" s="272"/>
      <c r="I36" s="273"/>
      <c r="J36" s="98"/>
      <c r="K36" s="279">
        <f t="shared" si="3"/>
        <v>0</v>
      </c>
      <c r="L36" s="314">
        <f>IF(E36="Male",H36*K36*D$8*(I36/100),H36*K36*D$9*(I36/100))</f>
        <v>0</v>
      </c>
      <c r="M36" s="280">
        <f t="shared" si="4"/>
        <v>0</v>
      </c>
      <c r="N36" s="317">
        <f>IF(E36="Male",$H36*M36*E$8*($I36/100),$H36*M36*E$9*($I36/100))</f>
        <v>0</v>
      </c>
      <c r="O36" s="281">
        <f t="shared" si="5"/>
        <v>0</v>
      </c>
      <c r="P36" s="314">
        <f>IF(E36="Male",$H36*O36*F$8*($I36/100),$H36*O36*F$9*($I36/100))</f>
        <v>0</v>
      </c>
      <c r="Q36" s="280">
        <f t="shared" si="6"/>
        <v>0</v>
      </c>
      <c r="R36" s="317">
        <f>IF(E36="Male",$H36*Q36*G$8*($I36/100),$H36*Q36*G$9*($I36/100))</f>
        <v>0</v>
      </c>
      <c r="S36" s="281">
        <f t="shared" si="7"/>
        <v>0</v>
      </c>
      <c r="T36" s="314">
        <f>IF(E36="Male",$H36*S36*H$8*($I36/100),$H36*S36*H$9*($I36/100))</f>
        <v>0</v>
      </c>
      <c r="U36" s="280">
        <f t="shared" si="8"/>
        <v>0</v>
      </c>
      <c r="V36" s="314">
        <f>IF(E36="Male",$H36*U36*I$8*($I36/100),$H36*U36*I$9*($I36/100))</f>
        <v>0</v>
      </c>
      <c r="W36" s="331"/>
      <c r="X36" s="320">
        <f>SUM(L36,R36,N36,P36,T36,V36)</f>
        <v>0</v>
      </c>
    </row>
    <row r="37" spans="1:26" ht="23.25" customHeight="1" x14ac:dyDescent="0.25">
      <c r="A37" s="338" t="s">
        <v>59</v>
      </c>
      <c r="B37" s="77" t="str">
        <f>IF(Instructions!$U$40=1,"Design case annual flush volume (gallons/year)","Design case annual flush volume (liters/year)")</f>
        <v>Design case annual flush volume (gallons/year)</v>
      </c>
      <c r="C37" s="94"/>
      <c r="D37" s="94"/>
      <c r="E37" s="94"/>
      <c r="F37" s="94"/>
      <c r="G37" s="94"/>
      <c r="H37" s="94"/>
      <c r="I37" s="339">
        <f>(SUM(X32:X36)*$I$13)</f>
        <v>0</v>
      </c>
      <c r="J37" s="122"/>
      <c r="K37" s="94"/>
      <c r="L37" s="94"/>
      <c r="M37" s="94"/>
      <c r="N37" s="94"/>
      <c r="O37" s="94"/>
      <c r="P37" s="94"/>
      <c r="Q37" s="94"/>
      <c r="R37" s="94"/>
      <c r="S37" s="94"/>
      <c r="T37" s="95"/>
      <c r="U37" s="94"/>
      <c r="V37" s="94"/>
      <c r="W37" s="122"/>
      <c r="X37" s="103"/>
    </row>
    <row r="38" spans="1:26" ht="21" customHeight="1" x14ac:dyDescent="0.25">
      <c r="B38" s="104"/>
      <c r="H38" s="85"/>
      <c r="I38" s="99"/>
      <c r="J38" s="99"/>
    </row>
    <row r="39" spans="1:26" ht="21" customHeight="1" x14ac:dyDescent="0.25">
      <c r="B39" s="102"/>
      <c r="H39" s="85"/>
      <c r="I39" s="99"/>
      <c r="J39" s="99"/>
    </row>
    <row r="40" spans="1:26" ht="21" customHeight="1" x14ac:dyDescent="0.25">
      <c r="B40" s="102"/>
      <c r="H40" s="85"/>
      <c r="I40" s="99"/>
      <c r="J40" s="99"/>
    </row>
    <row r="41" spans="1:26" ht="24.75" customHeight="1" x14ac:dyDescent="0.2">
      <c r="B41" s="69" t="s">
        <v>27</v>
      </c>
    </row>
    <row r="42" spans="1:26" s="85" customFormat="1" ht="48" customHeight="1" x14ac:dyDescent="0.25">
      <c r="B42" s="451" t="s">
        <v>80</v>
      </c>
      <c r="C42" s="451"/>
      <c r="D42" s="451"/>
      <c r="E42" s="451"/>
      <c r="F42" s="451"/>
      <c r="G42" s="451"/>
      <c r="H42" s="451"/>
      <c r="I42" s="451"/>
      <c r="J42" s="451"/>
      <c r="K42" s="451"/>
      <c r="L42" s="451"/>
      <c r="M42" s="451"/>
      <c r="N42" s="451"/>
      <c r="O42" s="451"/>
      <c r="P42" s="451"/>
      <c r="Q42" s="451"/>
      <c r="R42" s="451"/>
      <c r="S42" s="451"/>
      <c r="T42" s="451"/>
      <c r="U42" s="451"/>
      <c r="V42" s="451"/>
      <c r="W42" s="451"/>
      <c r="X42" s="451"/>
    </row>
    <row r="43" spans="1:26" ht="21.75" customHeight="1" x14ac:dyDescent="0.25">
      <c r="B43" s="454" t="s">
        <v>11</v>
      </c>
      <c r="C43" s="456" t="s">
        <v>26</v>
      </c>
      <c r="D43" s="456"/>
      <c r="E43" s="456"/>
      <c r="F43" s="464" t="str">
        <f>IF(Instructions!U40=1,"Default Flow Rate 
(gpm)","Default Flow Rate 
(lpm)")</f>
        <v>Default Flow Rate 
(gpm)</v>
      </c>
      <c r="G43" s="467" t="s">
        <v>76</v>
      </c>
      <c r="H43" s="490"/>
      <c r="I43" s="477" t="str">
        <f>I17</f>
        <v>Included 
in Project</v>
      </c>
      <c r="J43" s="109"/>
      <c r="K43" s="447" t="s">
        <v>79</v>
      </c>
      <c r="L43" s="469"/>
      <c r="M43" s="447" t="s">
        <v>70</v>
      </c>
      <c r="N43" s="448"/>
      <c r="O43" s="470" t="s">
        <v>19</v>
      </c>
      <c r="P43" s="469"/>
      <c r="Q43" s="447" t="s">
        <v>50</v>
      </c>
      <c r="R43" s="448"/>
      <c r="S43" s="470" t="s">
        <v>3</v>
      </c>
      <c r="T43" s="469"/>
      <c r="U43" s="447" t="str">
        <f>IF($I$6="Other (please specify)","Other",$I$6)</f>
        <v>Other (specify)</v>
      </c>
      <c r="V43" s="448"/>
      <c r="W43" s="127"/>
      <c r="X43" s="449" t="str">
        <f>IF(Instructions!$U$40=1,"Total Daily Water Use 
(gpf)","Total Daily Water Use 
(lpm)")</f>
        <v>Total Daily Water Use 
(gpf)</v>
      </c>
    </row>
    <row r="44" spans="1:26" ht="49.9" customHeight="1" x14ac:dyDescent="0.25">
      <c r="B44" s="455"/>
      <c r="C44" s="457"/>
      <c r="D44" s="457"/>
      <c r="E44" s="457"/>
      <c r="F44" s="465"/>
      <c r="G44" s="108" t="s">
        <v>86</v>
      </c>
      <c r="H44" s="113" t="s">
        <v>84</v>
      </c>
      <c r="I44" s="478"/>
      <c r="J44" s="128"/>
      <c r="K44" s="124" t="s">
        <v>77</v>
      </c>
      <c r="L44" s="91" t="str">
        <f>IF(Instructions!$U$40=1,"Daily Water Use 
(gpf)","Daily Water Use 
(lpm)")</f>
        <v>Daily Water Use 
(gpf)</v>
      </c>
      <c r="M44" s="124" t="s">
        <v>77</v>
      </c>
      <c r="N44" s="91" t="str">
        <f>IF(Instructions!$U$40=1,"Daily Water Use 
(gpf)","Daily Water Use 
(lpm)")</f>
        <v>Daily Water Use 
(gpf)</v>
      </c>
      <c r="O44" s="108" t="s">
        <v>77</v>
      </c>
      <c r="P44" s="91" t="str">
        <f>IF(Instructions!$U$40=1,"Daily Water Use 
(gpf)","Daily Water Use 
(lpm)")</f>
        <v>Daily Water Use 
(gpf)</v>
      </c>
      <c r="Q44" s="124" t="s">
        <v>77</v>
      </c>
      <c r="R44" s="91" t="str">
        <f>IF(Instructions!$U$40=1,"Daily Water Use 
(gpf)","Daily Water Use 
(lpm)")</f>
        <v>Daily Water Use 
(gpf)</v>
      </c>
      <c r="S44" s="108" t="s">
        <v>77</v>
      </c>
      <c r="T44" s="91" t="str">
        <f>IF(Instructions!$U$40=1,"Daily Water Use 
(gpf)","Daily Water Use 
(lpm)")</f>
        <v>Daily Water Use 
(gpf)</v>
      </c>
      <c r="U44" s="124" t="s">
        <v>77</v>
      </c>
      <c r="V44" s="91" t="str">
        <f>IF(Instructions!$U$40=1,"Daily Water Use 
(gpf)","Daily Water Use 
(lpm)")</f>
        <v>Daily Water Use 
(gpf)</v>
      </c>
      <c r="W44" s="110"/>
      <c r="X44" s="450"/>
      <c r="Y44" s="53"/>
      <c r="Z44" s="53"/>
    </row>
    <row r="45" spans="1:26" ht="15" customHeight="1" x14ac:dyDescent="0.25">
      <c r="B45" s="283" t="s">
        <v>38</v>
      </c>
      <c r="C45" s="489" t="str">
        <f>Instructions!$C$30</f>
        <v>Public lavatory (restroom) faucet</v>
      </c>
      <c r="D45" s="489"/>
      <c r="E45" s="489"/>
      <c r="F45" s="284">
        <f>IF(Instructions!$U$40=1,Instructions!$G$30,Instructions!$I$30)</f>
        <v>0.5</v>
      </c>
      <c r="G45" s="284">
        <f>Instructions!$K$30</f>
        <v>30</v>
      </c>
      <c r="H45" s="284">
        <f>Instructions!$L$30</f>
        <v>0</v>
      </c>
      <c r="I45" s="285"/>
      <c r="J45" s="111"/>
      <c r="K45" s="357">
        <f>Instructions!$N$30</f>
        <v>3</v>
      </c>
      <c r="L45" s="321">
        <f>$F45*($G45/60)*$K45*D$7</f>
        <v>0</v>
      </c>
      <c r="M45" s="349">
        <f>Instructions!$O$30</f>
        <v>0.5</v>
      </c>
      <c r="N45" s="324">
        <f>$F45*($G45/60)*M45*$E$7</f>
        <v>0</v>
      </c>
      <c r="O45" s="357">
        <f>Instructions!$P$30</f>
        <v>0.2</v>
      </c>
      <c r="P45" s="321">
        <f>$F45*($G45/60)*O45*$F$7</f>
        <v>0</v>
      </c>
      <c r="Q45" s="349">
        <f>Instructions!$Q$30</f>
        <v>3</v>
      </c>
      <c r="R45" s="324">
        <f>$F45*($G45/60)*$Q45*$G$7</f>
        <v>0</v>
      </c>
      <c r="S45" s="357">
        <f>Instructions!$R$30</f>
        <v>0</v>
      </c>
      <c r="T45" s="312">
        <f>F45*($H45/60)*S45*$H$7</f>
        <v>0</v>
      </c>
      <c r="U45" s="292"/>
      <c r="V45" s="312">
        <f>$F45*($G45/60)*U45*$I$7</f>
        <v>0</v>
      </c>
      <c r="W45" s="293"/>
      <c r="X45" s="327">
        <f>IF(I45="Yes",SUM(L45,R45,N45,P45,T45,V45),0)</f>
        <v>0</v>
      </c>
      <c r="Y45" s="56"/>
      <c r="Z45" s="46"/>
    </row>
    <row r="46" spans="1:26" ht="15" customHeight="1" x14ac:dyDescent="0.25">
      <c r="B46" s="286" t="s">
        <v>39</v>
      </c>
      <c r="C46" s="484" t="str">
        <f>Instructions!$C$31</f>
        <v>Private lavatory faucet</v>
      </c>
      <c r="D46" s="484"/>
      <c r="E46" s="484"/>
      <c r="F46" s="287">
        <f>IF(Instructions!$U$40=1,Instructions!$G$31,Instructions!$I$31)</f>
        <v>2.2000000000000002</v>
      </c>
      <c r="G46" s="287">
        <f>Instructions!$K$31</f>
        <v>30</v>
      </c>
      <c r="H46" s="287">
        <f>Instructions!$L$31</f>
        <v>60</v>
      </c>
      <c r="I46" s="288"/>
      <c r="J46" s="111"/>
      <c r="K46" s="352">
        <f>Instructions!$N$31</f>
        <v>0</v>
      </c>
      <c r="L46" s="322">
        <f>$F46*($G46/60)*$K46*D$7</f>
        <v>0</v>
      </c>
      <c r="M46" s="353">
        <f>Instructions!$O$31</f>
        <v>0</v>
      </c>
      <c r="N46" s="325">
        <f>$F46*($G46/60)*M46*$E$7</f>
        <v>0</v>
      </c>
      <c r="O46" s="352">
        <f>Instructions!$P$31</f>
        <v>0</v>
      </c>
      <c r="P46" s="322">
        <f>$F46*($G46/60)*O46*$F$7</f>
        <v>0</v>
      </c>
      <c r="Q46" s="353">
        <f>Instructions!$Q$31</f>
        <v>1</v>
      </c>
      <c r="R46" s="325">
        <f>$F46*($G46/60)*$Q46*$G$7</f>
        <v>0</v>
      </c>
      <c r="S46" s="352">
        <f>Instructions!$R$31</f>
        <v>5</v>
      </c>
      <c r="T46" s="313">
        <f>F46*($H46/60)*S46*$H$7</f>
        <v>0</v>
      </c>
      <c r="U46" s="294"/>
      <c r="V46" s="313">
        <f>$F46*($G46/60)*U46*$I$7</f>
        <v>0</v>
      </c>
      <c r="W46" s="293"/>
      <c r="X46" s="328">
        <f>IF(I46="Yes",SUM(L46,R46,N46,P46,T46,V46),0)</f>
        <v>0</v>
      </c>
      <c r="Y46" s="56"/>
      <c r="Z46" s="46"/>
    </row>
    <row r="47" spans="1:26" ht="15" customHeight="1" x14ac:dyDescent="0.25">
      <c r="B47" s="286" t="s">
        <v>40</v>
      </c>
      <c r="C47" s="484" t="str">
        <f>Instructions!$C$32</f>
        <v>Kitchen faucet</v>
      </c>
      <c r="D47" s="484"/>
      <c r="E47" s="484"/>
      <c r="F47" s="287">
        <f>IF(Instructions!$U$40=1,Instructions!$G$32,Instructions!$I$32)</f>
        <v>2.2000000000000002</v>
      </c>
      <c r="G47" s="287">
        <f>Instructions!$K$32</f>
        <v>15</v>
      </c>
      <c r="H47" s="287">
        <f>Instructions!$L$32</f>
        <v>60</v>
      </c>
      <c r="I47" s="288"/>
      <c r="J47" s="111"/>
      <c r="K47" s="352">
        <f>Instructions!$N$32</f>
        <v>1</v>
      </c>
      <c r="L47" s="322">
        <f>$F47*($G47/60)*$K47*D$7</f>
        <v>0</v>
      </c>
      <c r="M47" s="353">
        <f>Instructions!$O$32</f>
        <v>0</v>
      </c>
      <c r="N47" s="325">
        <f>$F47*($G47/60)*M47*$E$7</f>
        <v>0</v>
      </c>
      <c r="O47" s="352">
        <f>Instructions!$P$32</f>
        <v>0</v>
      </c>
      <c r="P47" s="322">
        <f>$F47*($G47/60)*O47*$F$7</f>
        <v>0</v>
      </c>
      <c r="Q47" s="353">
        <f>Instructions!$Q$32</f>
        <v>3</v>
      </c>
      <c r="R47" s="325">
        <f>$F47*($G47/60)*$Q47*$G$7</f>
        <v>0</v>
      </c>
      <c r="S47" s="352">
        <f>Instructions!$R$32</f>
        <v>4</v>
      </c>
      <c r="T47" s="313">
        <f>F47*($H47/60)*S47*$H$7</f>
        <v>0</v>
      </c>
      <c r="U47" s="294"/>
      <c r="V47" s="313">
        <f>$F47*($G47/60)*U47*$I$7</f>
        <v>0</v>
      </c>
      <c r="W47" s="293"/>
      <c r="X47" s="328">
        <f>IF(I47="Yes",SUM(L47,R47,N47,P47,T47,V47),0)</f>
        <v>0</v>
      </c>
      <c r="Y47" s="56"/>
      <c r="Z47" s="46"/>
    </row>
    <row r="48" spans="1:26" ht="15" customHeight="1" x14ac:dyDescent="0.25">
      <c r="B48" s="289" t="s">
        <v>41</v>
      </c>
      <c r="C48" s="476" t="str">
        <f>Instructions!$C$33</f>
        <v>Showerhead</v>
      </c>
      <c r="D48" s="476"/>
      <c r="E48" s="476"/>
      <c r="F48" s="290">
        <f>IF(Instructions!$U$40=1,Instructions!$G$33,Instructions!$I$33)</f>
        <v>2.5</v>
      </c>
      <c r="G48" s="290">
        <f>Instructions!$K$33</f>
        <v>300</v>
      </c>
      <c r="H48" s="290">
        <f>Instructions!$L$33</f>
        <v>480</v>
      </c>
      <c r="I48" s="291"/>
      <c r="J48" s="111"/>
      <c r="K48" s="355">
        <f>Instructions!$N$33</f>
        <v>0.1</v>
      </c>
      <c r="L48" s="323">
        <f>$F48*($G48/60)*$K48*D$7</f>
        <v>0</v>
      </c>
      <c r="M48" s="356">
        <f>Instructions!$O$33</f>
        <v>0</v>
      </c>
      <c r="N48" s="326">
        <f>$F48*($G48/60)*M48*$E$7</f>
        <v>0</v>
      </c>
      <c r="O48" s="355">
        <f>Instructions!$P$33</f>
        <v>0</v>
      </c>
      <c r="P48" s="323">
        <f>$F48*($G48/60)*O48*$F$7</f>
        <v>0</v>
      </c>
      <c r="Q48" s="356">
        <f>Instructions!$Q$33</f>
        <v>1</v>
      </c>
      <c r="R48" s="326">
        <f>$F48*($G48/60)*$Q48*$G$7</f>
        <v>0</v>
      </c>
      <c r="S48" s="355">
        <f>Instructions!$R$33</f>
        <v>1</v>
      </c>
      <c r="T48" s="314">
        <f>F48*($H48/60)*S48*$H$7</f>
        <v>0</v>
      </c>
      <c r="U48" s="295"/>
      <c r="V48" s="314">
        <f>$F48*($G48/60)*U48*$I$7</f>
        <v>0</v>
      </c>
      <c r="W48" s="282"/>
      <c r="X48" s="329">
        <f>IF(I48="Yes",SUM(L48,R48,N48,P48,T48,V48),0)</f>
        <v>0</v>
      </c>
      <c r="Y48" s="56"/>
      <c r="Z48" s="46"/>
    </row>
    <row r="49" spans="1:24" s="56" customFormat="1" ht="24.75" customHeight="1" x14ac:dyDescent="0.25">
      <c r="B49" s="88" t="str">
        <f>IF(Instructions!$U$40=1,"Baseline case annual flow volume (gallons/year)","Baseline case annual flow volume (liters/year)")</f>
        <v>Baseline case annual flow volume (gallons/year)</v>
      </c>
      <c r="C49" s="94"/>
      <c r="D49" s="94"/>
      <c r="E49" s="94"/>
      <c r="F49" s="94"/>
      <c r="G49" s="94"/>
      <c r="H49" s="94"/>
      <c r="I49" s="339">
        <f>(SUM(X45:X48)*$I$13)</f>
        <v>0</v>
      </c>
      <c r="J49" s="122"/>
      <c r="K49" s="94"/>
      <c r="L49" s="94"/>
      <c r="M49" s="94"/>
      <c r="N49" s="94"/>
      <c r="O49" s="94"/>
      <c r="P49" s="94"/>
      <c r="Q49" s="94"/>
      <c r="R49" s="94"/>
      <c r="S49" s="112"/>
      <c r="T49" s="95"/>
      <c r="U49" s="94"/>
      <c r="V49" s="94"/>
      <c r="W49" s="122"/>
      <c r="X49" s="103"/>
    </row>
    <row r="50" spans="1:24" ht="25.5" customHeight="1" x14ac:dyDescent="0.25">
      <c r="C50" s="85"/>
      <c r="D50" s="85"/>
      <c r="E50" s="85"/>
      <c r="F50" s="85"/>
      <c r="G50" s="85"/>
      <c r="H50" s="85"/>
      <c r="I50" s="85"/>
      <c r="J50" s="85"/>
      <c r="K50" s="85"/>
      <c r="L50" s="85"/>
      <c r="M50" s="85"/>
      <c r="N50" s="85"/>
      <c r="Q50" s="96"/>
      <c r="R50" s="96"/>
    </row>
    <row r="51" spans="1:24" ht="21" customHeight="1" x14ac:dyDescent="0.25">
      <c r="B51" s="121" t="s">
        <v>92</v>
      </c>
      <c r="C51" s="85"/>
      <c r="D51" s="85"/>
      <c r="E51" s="85"/>
      <c r="F51" s="85"/>
      <c r="G51" s="85"/>
      <c r="H51" s="85"/>
      <c r="I51" s="85"/>
      <c r="J51" s="85"/>
      <c r="K51" s="85"/>
      <c r="L51" s="85"/>
      <c r="M51" s="85"/>
      <c r="N51" s="85"/>
      <c r="Q51" s="96"/>
      <c r="R51" s="96"/>
    </row>
    <row r="52" spans="1:24" ht="51.75" customHeight="1" x14ac:dyDescent="0.25">
      <c r="B52" s="445" t="s">
        <v>87</v>
      </c>
      <c r="C52" s="446"/>
      <c r="D52" s="97" t="str">
        <f>IF(Instructions!$U$40=1,"Gallons per Cycle","Liters per Cycle")</f>
        <v>Gallons per Cycle</v>
      </c>
      <c r="E52" s="120" t="s">
        <v>88</v>
      </c>
      <c r="F52" s="97" t="str">
        <f>IF(Instructions!$U$40=1,"Flow Rate (gpm)","Flow Rate (lpm)")</f>
        <v>Flow Rate (gpm)</v>
      </c>
      <c r="H52" s="85"/>
      <c r="I52" s="85"/>
      <c r="J52" s="85"/>
      <c r="K52" s="85"/>
      <c r="L52" s="85"/>
      <c r="M52" s="85"/>
      <c r="N52" s="85"/>
      <c r="Q52" s="96"/>
      <c r="R52" s="96"/>
    </row>
    <row r="53" spans="1:24" ht="21" customHeight="1" x14ac:dyDescent="0.25">
      <c r="B53" s="445"/>
      <c r="C53" s="446"/>
      <c r="D53" s="258"/>
      <c r="E53" s="258"/>
      <c r="F53" s="257">
        <f>IFERROR((D53*60)/E53,0)</f>
        <v>0</v>
      </c>
    </row>
    <row r="54" spans="1:24" ht="24.75" customHeight="1" x14ac:dyDescent="0.25">
      <c r="C54" s="85"/>
      <c r="D54" s="85"/>
      <c r="E54" s="85"/>
      <c r="F54" s="85"/>
      <c r="G54" s="85"/>
      <c r="H54" s="85"/>
      <c r="I54" s="85"/>
      <c r="J54" s="85"/>
      <c r="K54" s="85"/>
      <c r="L54" s="85"/>
      <c r="M54" s="85"/>
      <c r="N54" s="85"/>
      <c r="Q54" s="96"/>
      <c r="R54" s="96"/>
    </row>
    <row r="55" spans="1:24" ht="24.75" customHeight="1" x14ac:dyDescent="0.2">
      <c r="B55" s="69" t="s">
        <v>23</v>
      </c>
    </row>
    <row r="56" spans="1:24" ht="81" customHeight="1" x14ac:dyDescent="0.25">
      <c r="B56" s="466" t="s">
        <v>106</v>
      </c>
      <c r="C56" s="466"/>
      <c r="D56" s="466"/>
      <c r="E56" s="466"/>
      <c r="F56" s="466"/>
      <c r="G56" s="466"/>
      <c r="H56" s="466"/>
      <c r="I56" s="466"/>
      <c r="J56" s="466"/>
      <c r="K56" s="466"/>
      <c r="L56" s="466"/>
      <c r="M56" s="466"/>
      <c r="N56" s="466"/>
      <c r="O56" s="466"/>
      <c r="P56" s="466"/>
      <c r="Q56" s="466"/>
      <c r="R56" s="466"/>
      <c r="S56" s="466"/>
      <c r="T56" s="466"/>
      <c r="U56" s="466"/>
      <c r="V56" s="466"/>
      <c r="W56" s="466"/>
      <c r="X56" s="466"/>
    </row>
    <row r="57" spans="1:24" ht="21" customHeight="1" x14ac:dyDescent="0.25">
      <c r="B57" s="471" t="s">
        <v>11</v>
      </c>
      <c r="C57" s="475" t="s">
        <v>16</v>
      </c>
      <c r="D57" s="475" t="str">
        <f>IF(Instructions!U40=1,"Flow Rate (gpm)","Flow Rate (lpm)")</f>
        <v>Flow Rate (gpm)</v>
      </c>
      <c r="E57" s="474" t="s">
        <v>93</v>
      </c>
      <c r="F57" s="472" t="s">
        <v>21</v>
      </c>
      <c r="G57" s="473"/>
      <c r="H57" s="467" t="s">
        <v>76</v>
      </c>
      <c r="I57" s="468"/>
      <c r="J57" s="115"/>
      <c r="K57" s="447" t="s">
        <v>79</v>
      </c>
      <c r="L57" s="469"/>
      <c r="M57" s="447" t="s">
        <v>70</v>
      </c>
      <c r="N57" s="448"/>
      <c r="O57" s="470" t="s">
        <v>19</v>
      </c>
      <c r="P57" s="469"/>
      <c r="Q57" s="447" t="s">
        <v>50</v>
      </c>
      <c r="R57" s="448"/>
      <c r="S57" s="470" t="s">
        <v>3</v>
      </c>
      <c r="T57" s="469"/>
      <c r="U57" s="447" t="str">
        <f>IF($I$6="Other (please specify)","Other",$I$6)</f>
        <v>Other (specify)</v>
      </c>
      <c r="V57" s="448"/>
      <c r="W57" s="123"/>
      <c r="X57" s="449" t="str">
        <f>IF(Instructions!$U$40=1,"Total Daily Water Use 
(gpf)","Total Daily Water Use 
(lpm)")</f>
        <v>Total Daily Water Use 
(gpf)</v>
      </c>
    </row>
    <row r="58" spans="1:24" s="90" customFormat="1" ht="55.9" customHeight="1" x14ac:dyDescent="0.25">
      <c r="B58" s="471"/>
      <c r="C58" s="475"/>
      <c r="D58" s="475"/>
      <c r="E58" s="474"/>
      <c r="F58" s="125" t="s">
        <v>82</v>
      </c>
      <c r="G58" s="126" t="s">
        <v>22</v>
      </c>
      <c r="H58" s="108" t="s">
        <v>86</v>
      </c>
      <c r="I58" s="114" t="s">
        <v>84</v>
      </c>
      <c r="J58" s="116"/>
      <c r="K58" s="124" t="s">
        <v>77</v>
      </c>
      <c r="L58" s="91" t="str">
        <f>IF(Instructions!$U$40=1,"Daily Water Use 
(gpf)","Daily Water Use 
(lpm)")</f>
        <v>Daily Water Use 
(gpf)</v>
      </c>
      <c r="M58" s="124" t="s">
        <v>77</v>
      </c>
      <c r="N58" s="91" t="str">
        <f>IF(Instructions!$U$40=1,"Daily Water Use 
(gpf)","Daily Water Use 
(lpm)")</f>
        <v>Daily Water Use 
(gpf)</v>
      </c>
      <c r="O58" s="108" t="s">
        <v>77</v>
      </c>
      <c r="P58" s="91" t="str">
        <f>IF(Instructions!$U$40=1,"Daily Water Use 
(gpf)","Daily Water Use 
(lpm)")</f>
        <v>Daily Water Use 
(gpf)</v>
      </c>
      <c r="Q58" s="124" t="s">
        <v>77</v>
      </c>
      <c r="R58" s="91" t="str">
        <f>IF(Instructions!$U$40=1,"Daily Water Use 
(gpf)","Daily Water Use 
(lpm)")</f>
        <v>Daily Water Use 
(gpf)</v>
      </c>
      <c r="S58" s="108" t="s">
        <v>77</v>
      </c>
      <c r="T58" s="91" t="str">
        <f>IF(Instructions!$U$40=1,"Daily Water Use 
(gpf)","Daily Water Use 
(lpm)")</f>
        <v>Daily Water Use 
(gpf)</v>
      </c>
      <c r="U58" s="124" t="s">
        <v>77</v>
      </c>
      <c r="V58" s="91" t="str">
        <f>IF(Instructions!$U$40=1,"Daily Water Use 
(gpf)","Daily Water Use 
(lpm)")</f>
        <v>Daily Water Use 
(gpf)</v>
      </c>
      <c r="W58" s="71"/>
      <c r="X58" s="450"/>
    </row>
    <row r="59" spans="1:24" ht="15" customHeight="1" x14ac:dyDescent="0.25">
      <c r="A59" s="338">
        <f>IF(B59&gt;=0,1,1)</f>
        <v>1</v>
      </c>
      <c r="B59" s="259"/>
      <c r="C59" s="379" t="str">
        <f>IF(ISBLANK(B59),"",VLOOKUP(B59,B$43:V$48,2,0))</f>
        <v/>
      </c>
      <c r="D59" s="296"/>
      <c r="E59" s="297"/>
      <c r="F59" s="298"/>
      <c r="G59" s="298"/>
      <c r="H59" s="299">
        <f>IF(ISBLANK(B59),0,VLOOKUP(B59,$B$45:$U$48,6,0))</f>
        <v>0</v>
      </c>
      <c r="I59" s="300">
        <f>IF(ISBLANK(B59),0,VLOOKUP(B59,$B$45:$U$48,7,0))</f>
        <v>0</v>
      </c>
      <c r="J59" s="117"/>
      <c r="K59" s="275">
        <f>IF(ISBLANK(B59),0,VLOOKUP($B59,$B$43:$V$48,10,0))</f>
        <v>0</v>
      </c>
      <c r="L59" s="312">
        <f>$D59*($H59/60)*K59*($D$7*($E59/100))</f>
        <v>0</v>
      </c>
      <c r="M59" s="275">
        <f>IF(ISBLANK(B59),0,VLOOKUP($B59,$B$43:$V$48,12,0))</f>
        <v>0</v>
      </c>
      <c r="N59" s="315">
        <f>$D59*($H59/60)*M59*(E$7*($E59/100))</f>
        <v>0</v>
      </c>
      <c r="O59" s="276">
        <f>IF(ISBLANK(B59),0,VLOOKUP($B59,$B$43:$V$48,14,0))</f>
        <v>0</v>
      </c>
      <c r="P59" s="312">
        <f>$D59*($H59/60)*O59*(F$7*($E59/100))</f>
        <v>0</v>
      </c>
      <c r="Q59" s="275">
        <f>IF(ISBLANK(B59),0,VLOOKUP($B59,$B$43:$V$48,16,0))</f>
        <v>0</v>
      </c>
      <c r="R59" s="315">
        <f>$D59*($H59/60)*Q59*($G$7*($E59/100))</f>
        <v>0</v>
      </c>
      <c r="S59" s="276">
        <f>IF(ISBLANK(B59),0,VLOOKUP($B59,$B$43:$V$48,18,0))</f>
        <v>0</v>
      </c>
      <c r="T59" s="312">
        <f>$D59*($I59/60)*S59*($H$7*($E59/100))</f>
        <v>0</v>
      </c>
      <c r="U59" s="275">
        <f>IF(ISBLANK(B59),0,VLOOKUP($B59,$B$43:$V$48,20,0))</f>
        <v>0</v>
      </c>
      <c r="V59" s="312">
        <f>$D59*($H59/60)*U59*(I$7*($E59/100))</f>
        <v>0</v>
      </c>
      <c r="W59" s="311"/>
      <c r="X59" s="318">
        <f>SUM(L59,R59,N59,P59,T59,V59)</f>
        <v>0</v>
      </c>
    </row>
    <row r="60" spans="1:24" ht="15" customHeight="1" x14ac:dyDescent="0.25">
      <c r="A60" s="338">
        <f t="shared" ref="A60:A61" si="9">IF(B60&gt;=0,1,1)</f>
        <v>1</v>
      </c>
      <c r="B60" s="264"/>
      <c r="C60" s="380" t="str">
        <f>IF(ISBLANK(B60),"",VLOOKUP(B60,B$43:V$48,2,0))</f>
        <v/>
      </c>
      <c r="D60" s="301"/>
      <c r="E60" s="302"/>
      <c r="F60" s="303"/>
      <c r="G60" s="303"/>
      <c r="H60" s="304">
        <f>IF(ISBLANK(B60),0,VLOOKUP(B60,$B$45:$U$48,6,0))</f>
        <v>0</v>
      </c>
      <c r="I60" s="305">
        <f>IF(ISBLANK(B60),0,VLOOKUP(B60,$B$45:$U$48,7,0))</f>
        <v>0</v>
      </c>
      <c r="J60" s="117"/>
      <c r="K60" s="277">
        <f t="shared" ref="K60:K63" si="10">IF(ISBLANK(B60),0,VLOOKUP($B60,$B$43:$V$48,10,0))</f>
        <v>0</v>
      </c>
      <c r="L60" s="313">
        <f>$D60*($H60/60)*K60*($D$7*($E60/100))</f>
        <v>0</v>
      </c>
      <c r="M60" s="277">
        <f t="shared" ref="M60:M63" si="11">IF(ISBLANK(B60),0,VLOOKUP($B60,$B$43:$V$48,12,0))</f>
        <v>0</v>
      </c>
      <c r="N60" s="316">
        <f>$D60*($H60/60)*M60*(E$7*($E60/100))</f>
        <v>0</v>
      </c>
      <c r="O60" s="278">
        <f t="shared" ref="O60:O63" si="12">IF(ISBLANK(B60),0,VLOOKUP($B60,$B$43:$V$48,14,0))</f>
        <v>0</v>
      </c>
      <c r="P60" s="313">
        <f>$D60*($H60/60)*O60*(F$7*($E60/100))</f>
        <v>0</v>
      </c>
      <c r="Q60" s="277">
        <f t="shared" ref="Q60:Q63" si="13">IF(ISBLANK(B60),0,VLOOKUP($B60,$B$43:$V$48,16,0))</f>
        <v>0</v>
      </c>
      <c r="R60" s="316">
        <f>$D60*($H60/60)*Q60*($G$7*($E60/100))</f>
        <v>0</v>
      </c>
      <c r="S60" s="278">
        <f t="shared" ref="S60:S63" si="14">IF(ISBLANK(B60),0,VLOOKUP($B60,$B$43:$V$48,18,0))</f>
        <v>0</v>
      </c>
      <c r="T60" s="313">
        <f>$D60*($I60/60)*S60*($H$7*($E60/100))</f>
        <v>0</v>
      </c>
      <c r="U60" s="277">
        <f t="shared" ref="U60:U63" si="15">IF(ISBLANK(B60),0,VLOOKUP($B60,$B$43:$V$48,20,0))</f>
        <v>0</v>
      </c>
      <c r="V60" s="313">
        <f>$D60*($H60/60)*U60*(I$7*($E60/100))</f>
        <v>0</v>
      </c>
      <c r="W60" s="311"/>
      <c r="X60" s="319">
        <f>SUM(L60,R60,N60,P60,T60,V60)</f>
        <v>0</v>
      </c>
    </row>
    <row r="61" spans="1:24" ht="15" customHeight="1" x14ac:dyDescent="0.25">
      <c r="A61" s="338">
        <f t="shared" si="9"/>
        <v>1</v>
      </c>
      <c r="B61" s="264"/>
      <c r="C61" s="380" t="str">
        <f>IF(ISBLANK(B61),"",VLOOKUP(B61,B$43:V$48,2,0))</f>
        <v/>
      </c>
      <c r="D61" s="301"/>
      <c r="E61" s="302"/>
      <c r="F61" s="303"/>
      <c r="G61" s="303"/>
      <c r="H61" s="304">
        <f>IF(ISBLANK(B61),0,VLOOKUP(B61,$B$45:$U$48,6,0))</f>
        <v>0</v>
      </c>
      <c r="I61" s="305">
        <f>IF(ISBLANK(B61),0,VLOOKUP(B61,$B$45:$U$48,7,0))</f>
        <v>0</v>
      </c>
      <c r="J61" s="117"/>
      <c r="K61" s="277">
        <f t="shared" si="10"/>
        <v>0</v>
      </c>
      <c r="L61" s="313">
        <f>$D61*($H61/60)*K61*($D$7*($E61/100))</f>
        <v>0</v>
      </c>
      <c r="M61" s="277">
        <f t="shared" si="11"/>
        <v>0</v>
      </c>
      <c r="N61" s="316">
        <f>$D61*($H61/60)*M61*(E$7*($E61/100))</f>
        <v>0</v>
      </c>
      <c r="O61" s="278">
        <f t="shared" si="12"/>
        <v>0</v>
      </c>
      <c r="P61" s="313">
        <f>$D61*($H61/60)*O61*(F$7*($E61/100))</f>
        <v>0</v>
      </c>
      <c r="Q61" s="277">
        <f t="shared" si="13"/>
        <v>0</v>
      </c>
      <c r="R61" s="316">
        <f>$D61*($H61/60)*Q61*($G$7*($E61/100))</f>
        <v>0</v>
      </c>
      <c r="S61" s="278">
        <f t="shared" si="14"/>
        <v>0</v>
      </c>
      <c r="T61" s="313">
        <f>$D61*($I61/60)*S61*($H$7*($E61/100))</f>
        <v>0</v>
      </c>
      <c r="U61" s="277">
        <f t="shared" si="15"/>
        <v>0</v>
      </c>
      <c r="V61" s="313">
        <f>$D61*($H61/60)*U61*(I$7*($E61/100))</f>
        <v>0</v>
      </c>
      <c r="W61" s="311"/>
      <c r="X61" s="319">
        <f>SUM(L61,R61,N61,P61,T61,V61)</f>
        <v>0</v>
      </c>
    </row>
    <row r="62" spans="1:24" ht="15" customHeight="1" x14ac:dyDescent="0.25">
      <c r="A62" s="338"/>
      <c r="B62" s="264"/>
      <c r="C62" s="380" t="str">
        <f>IF(ISBLANK(B62),"",VLOOKUP(B62,B$43:V$48,2,0))</f>
        <v/>
      </c>
      <c r="D62" s="301"/>
      <c r="E62" s="302"/>
      <c r="F62" s="303"/>
      <c r="G62" s="303"/>
      <c r="H62" s="304">
        <f>IF(ISBLANK(B62),0,VLOOKUP(B62,$B$45:$U$48,6,0))</f>
        <v>0</v>
      </c>
      <c r="I62" s="305">
        <f>IF(ISBLANK(B62),0,VLOOKUP(B62,$B$45:$U$48,7,0))</f>
        <v>0</v>
      </c>
      <c r="J62" s="117"/>
      <c r="K62" s="277">
        <f t="shared" si="10"/>
        <v>0</v>
      </c>
      <c r="L62" s="313">
        <f>$D62*($H62/60)*K62*($D$7*($E62/100))</f>
        <v>0</v>
      </c>
      <c r="M62" s="277">
        <f t="shared" si="11"/>
        <v>0</v>
      </c>
      <c r="N62" s="316">
        <f>$D62*($H62/60)*M62*(E$7*($E62/100))</f>
        <v>0</v>
      </c>
      <c r="O62" s="278">
        <f t="shared" si="12"/>
        <v>0</v>
      </c>
      <c r="P62" s="313">
        <f>$D62*($H62/60)*O62*(F$7*($E62/100))</f>
        <v>0</v>
      </c>
      <c r="Q62" s="277">
        <f t="shared" si="13"/>
        <v>0</v>
      </c>
      <c r="R62" s="316">
        <f>$D62*($H62/60)*Q62*($G$7*($E62/100))</f>
        <v>0</v>
      </c>
      <c r="S62" s="278">
        <f t="shared" si="14"/>
        <v>0</v>
      </c>
      <c r="T62" s="313">
        <f>$D62*($I62/60)*S62*($H$7*($E62/100))</f>
        <v>0</v>
      </c>
      <c r="U62" s="277">
        <f t="shared" si="15"/>
        <v>0</v>
      </c>
      <c r="V62" s="313">
        <f>$D62*($H62/60)*U62*(I$7*($E62/100))</f>
        <v>0</v>
      </c>
      <c r="W62" s="311"/>
      <c r="X62" s="319">
        <f>SUM(L62,R62,N62,P62,T62,V62)</f>
        <v>0</v>
      </c>
    </row>
    <row r="63" spans="1:24" ht="15" customHeight="1" x14ac:dyDescent="0.25">
      <c r="A63" s="338"/>
      <c r="B63" s="269"/>
      <c r="C63" s="381" t="str">
        <f>IF(ISBLANK(B63),"",VLOOKUP(B63,B$43:V$48,2,0))</f>
        <v/>
      </c>
      <c r="D63" s="306"/>
      <c r="E63" s="307"/>
      <c r="F63" s="308"/>
      <c r="G63" s="308"/>
      <c r="H63" s="309">
        <f>IF(ISBLANK(B63),0,VLOOKUP(B63,$B$45:$U$48,6,0))</f>
        <v>0</v>
      </c>
      <c r="I63" s="310">
        <f>IF(ISBLANK(B63),0,VLOOKUP(B63,$B$45:$U$48,7,0))</f>
        <v>0</v>
      </c>
      <c r="J63" s="117"/>
      <c r="K63" s="280">
        <f t="shared" si="10"/>
        <v>0</v>
      </c>
      <c r="L63" s="314">
        <f>$D63*($H63/60)*K63*($D$7*($E63/100))</f>
        <v>0</v>
      </c>
      <c r="M63" s="280">
        <f t="shared" si="11"/>
        <v>0</v>
      </c>
      <c r="N63" s="317">
        <f>$D63*($H63/60)*M63*(E$7*($E63/100))</f>
        <v>0</v>
      </c>
      <c r="O63" s="281">
        <f t="shared" si="12"/>
        <v>0</v>
      </c>
      <c r="P63" s="314">
        <f>$D63*($H63/60)*O63*(F$7*($E63/100))</f>
        <v>0</v>
      </c>
      <c r="Q63" s="280">
        <f t="shared" si="13"/>
        <v>0</v>
      </c>
      <c r="R63" s="317">
        <f>$D63*($H63/60)*Q63*($G$7*($E63/100))</f>
        <v>0</v>
      </c>
      <c r="S63" s="281">
        <f t="shared" si="14"/>
        <v>0</v>
      </c>
      <c r="T63" s="314">
        <f>$D63*($I63/60)*S63*($H$7*($E63/100))</f>
        <v>0</v>
      </c>
      <c r="U63" s="280">
        <f t="shared" si="15"/>
        <v>0</v>
      </c>
      <c r="V63" s="314">
        <f>$D63*($H63/60)*U63*(I$7*($E63/100))</f>
        <v>0</v>
      </c>
      <c r="W63" s="282"/>
      <c r="X63" s="320">
        <f>SUM(L63,R63,N63,P63,T63,V63)</f>
        <v>0</v>
      </c>
    </row>
    <row r="64" spans="1:24" ht="24.75" customHeight="1" x14ac:dyDescent="0.25">
      <c r="A64" s="338" t="s">
        <v>107</v>
      </c>
      <c r="B64" s="88" t="str">
        <f>IF(Instructions!$U$40=1,"Design case annual flow volume (gallons/year)","Design case annual flow volume (liters/year)")</f>
        <v>Design case annual flow volume (gallons/year)</v>
      </c>
      <c r="C64" s="94"/>
      <c r="D64" s="94"/>
      <c r="E64" s="94"/>
      <c r="F64" s="94"/>
      <c r="G64" s="94"/>
      <c r="H64" s="94"/>
      <c r="I64" s="339">
        <f>(SUM(X59:X63)*$I$13)</f>
        <v>0</v>
      </c>
      <c r="J64" s="118"/>
      <c r="K64" s="94"/>
      <c r="L64" s="94"/>
      <c r="M64" s="94"/>
      <c r="N64" s="94"/>
      <c r="O64" s="94"/>
      <c r="P64" s="119"/>
      <c r="Q64" s="94"/>
      <c r="R64" s="94"/>
      <c r="S64" s="94"/>
      <c r="T64" s="95"/>
      <c r="U64" s="94"/>
      <c r="V64" s="94"/>
      <c r="W64" s="122"/>
      <c r="X64" s="103"/>
    </row>
    <row r="65" spans="1:26" ht="20.25" customHeight="1" x14ac:dyDescent="0.25">
      <c r="B65" s="104"/>
      <c r="G65" s="85"/>
      <c r="H65" s="85"/>
      <c r="I65" s="99"/>
      <c r="J65" s="99"/>
      <c r="K65" s="85"/>
      <c r="L65" s="85"/>
      <c r="Q65" s="96"/>
      <c r="R65" s="96"/>
    </row>
    <row r="66" spans="1:26" ht="24.75" customHeight="1" x14ac:dyDescent="0.25">
      <c r="B66" s="102"/>
      <c r="G66" s="85"/>
      <c r="H66" s="85"/>
      <c r="I66" s="99"/>
      <c r="J66" s="99"/>
      <c r="K66" s="85"/>
      <c r="L66" s="85"/>
      <c r="Q66" s="96"/>
      <c r="R66" s="96"/>
    </row>
    <row r="67" spans="1:26" ht="24.75" customHeight="1" x14ac:dyDescent="0.25">
      <c r="B67" s="102"/>
      <c r="G67" s="85"/>
      <c r="H67" s="85"/>
      <c r="I67" s="99"/>
      <c r="J67" s="99"/>
      <c r="K67" s="85"/>
      <c r="L67" s="85"/>
      <c r="Q67" s="96"/>
      <c r="R67" s="96"/>
    </row>
    <row r="68" spans="1:26" ht="24.75" customHeight="1" x14ac:dyDescent="0.25"/>
    <row r="69" spans="1:26" ht="24" customHeight="1" x14ac:dyDescent="0.25">
      <c r="L69" s="105"/>
    </row>
    <row r="70" spans="1:26" ht="18" customHeight="1" x14ac:dyDescent="0.25">
      <c r="A70" s="100"/>
      <c r="B70" s="57"/>
      <c r="C70" s="57"/>
      <c r="D70" s="57"/>
      <c r="E70" s="57"/>
      <c r="F70" s="57"/>
      <c r="G70" s="57"/>
      <c r="H70" s="57"/>
      <c r="I70" s="57"/>
      <c r="J70" s="57"/>
      <c r="K70" s="57"/>
      <c r="L70" s="107"/>
      <c r="Q70" s="100"/>
    </row>
    <row r="71" spans="1:26" ht="18" customHeight="1" x14ac:dyDescent="0.25">
      <c r="A71" s="100"/>
      <c r="B71" s="60"/>
      <c r="C71" s="100"/>
      <c r="D71" s="57"/>
      <c r="E71" s="57"/>
      <c r="F71" s="100"/>
      <c r="G71" s="100"/>
      <c r="H71" s="100"/>
      <c r="I71" s="58"/>
      <c r="J71" s="58"/>
      <c r="K71" s="58"/>
      <c r="L71" s="107"/>
      <c r="Q71" s="100"/>
    </row>
    <row r="72" spans="1:26" ht="18" customHeight="1" x14ac:dyDescent="0.25">
      <c r="A72" s="100"/>
      <c r="B72" s="59"/>
      <c r="C72" s="61"/>
      <c r="D72" s="57"/>
      <c r="E72" s="57"/>
      <c r="F72" s="100"/>
      <c r="G72" s="100"/>
      <c r="H72" s="100"/>
      <c r="I72" s="57"/>
      <c r="J72" s="57"/>
      <c r="K72" s="57"/>
      <c r="L72" s="107"/>
      <c r="Q72" s="100"/>
    </row>
    <row r="73" spans="1:26" ht="24" customHeight="1" x14ac:dyDescent="0.25">
      <c r="A73" s="100"/>
      <c r="B73" s="60"/>
      <c r="C73" s="61"/>
      <c r="D73" s="61"/>
      <c r="E73" s="61"/>
      <c r="F73" s="61"/>
      <c r="G73" s="61"/>
      <c r="H73" s="61"/>
      <c r="I73" s="57"/>
      <c r="J73" s="57"/>
      <c r="K73" s="57"/>
      <c r="L73" s="107"/>
      <c r="Q73" s="100"/>
    </row>
    <row r="74" spans="1:26" ht="15" customHeight="1" x14ac:dyDescent="0.25">
      <c r="A74" s="100"/>
      <c r="B74" s="60"/>
      <c r="C74" s="100"/>
      <c r="D74" s="61"/>
      <c r="E74" s="61"/>
      <c r="F74" s="100"/>
      <c r="G74" s="100"/>
      <c r="H74" s="100"/>
      <c r="I74" s="57"/>
      <c r="J74" s="57"/>
      <c r="K74" s="57"/>
      <c r="L74" s="62"/>
      <c r="Q74" s="100"/>
      <c r="Y74" s="46"/>
      <c r="Z74" s="46"/>
    </row>
    <row r="75" spans="1:26" ht="15" customHeight="1" x14ac:dyDescent="0.25">
      <c r="A75" s="100"/>
      <c r="B75" s="63"/>
      <c r="C75" s="100"/>
      <c r="D75" s="61"/>
      <c r="E75" s="57"/>
      <c r="F75" s="100"/>
      <c r="G75" s="100"/>
      <c r="H75" s="100"/>
      <c r="I75" s="101"/>
      <c r="J75" s="101"/>
      <c r="K75" s="57"/>
      <c r="L75" s="100"/>
      <c r="Q75" s="100"/>
      <c r="Z75" s="46"/>
    </row>
    <row r="76" spans="1:26" ht="15" customHeight="1" x14ac:dyDescent="0.25">
      <c r="A76" s="100"/>
      <c r="B76" s="63"/>
      <c r="C76" s="100"/>
      <c r="D76" s="61"/>
      <c r="E76" s="57"/>
      <c r="F76" s="100"/>
      <c r="G76" s="100"/>
      <c r="H76" s="100"/>
      <c r="I76" s="64"/>
      <c r="J76" s="64"/>
      <c r="K76" s="57"/>
      <c r="L76" s="100"/>
      <c r="Q76" s="100"/>
    </row>
    <row r="77" spans="1:26" ht="15" customHeight="1" x14ac:dyDescent="0.25">
      <c r="A77" s="100"/>
      <c r="B77" s="63"/>
      <c r="C77" s="100"/>
      <c r="D77" s="61"/>
      <c r="E77" s="57"/>
      <c r="F77" s="100"/>
      <c r="G77" s="100"/>
      <c r="H77" s="100"/>
      <c r="I77" s="101"/>
      <c r="J77" s="101"/>
      <c r="K77" s="57"/>
      <c r="L77" s="100"/>
      <c r="Q77" s="100"/>
    </row>
    <row r="78" spans="1:26" ht="15" customHeight="1" x14ac:dyDescent="0.25">
      <c r="A78" s="100"/>
      <c r="B78" s="63"/>
      <c r="C78" s="100"/>
      <c r="D78" s="61"/>
      <c r="E78" s="57"/>
      <c r="F78" s="100"/>
      <c r="G78" s="100"/>
      <c r="H78" s="100"/>
      <c r="I78" s="65"/>
      <c r="J78" s="65"/>
      <c r="K78" s="57"/>
      <c r="L78" s="100"/>
      <c r="Q78" s="100"/>
    </row>
    <row r="79" spans="1:26" ht="15" customHeight="1" x14ac:dyDescent="0.25">
      <c r="A79" s="100"/>
      <c r="B79" s="63"/>
      <c r="C79" s="100"/>
      <c r="D79" s="61"/>
      <c r="E79" s="57"/>
      <c r="F79" s="100"/>
      <c r="G79" s="100"/>
      <c r="H79" s="100"/>
      <c r="I79" s="101"/>
      <c r="J79" s="101"/>
      <c r="K79" s="57"/>
      <c r="L79" s="100"/>
      <c r="Q79" s="100"/>
    </row>
    <row r="80" spans="1:26" ht="15" customHeight="1" x14ac:dyDescent="0.25">
      <c r="A80" s="100"/>
      <c r="B80" s="59"/>
      <c r="C80" s="66"/>
      <c r="D80" s="66"/>
      <c r="E80" s="57"/>
      <c r="F80" s="100"/>
      <c r="G80" s="100"/>
      <c r="H80" s="100"/>
      <c r="I80" s="67"/>
      <c r="J80" s="67"/>
      <c r="K80" s="57"/>
      <c r="L80" s="100"/>
      <c r="Q80" s="100"/>
    </row>
    <row r="81" spans="1:17" ht="24" customHeight="1" x14ac:dyDescent="0.25">
      <c r="A81" s="100"/>
      <c r="B81" s="60"/>
      <c r="C81" s="61"/>
      <c r="D81" s="61"/>
      <c r="E81" s="61"/>
      <c r="F81" s="61"/>
      <c r="G81" s="61"/>
      <c r="H81" s="61"/>
      <c r="I81" s="57"/>
      <c r="J81" s="57"/>
      <c r="K81" s="57"/>
      <c r="L81" s="100"/>
      <c r="Q81" s="100"/>
    </row>
    <row r="82" spans="1:17" ht="15" customHeight="1" x14ac:dyDescent="0.25">
      <c r="A82" s="100"/>
      <c r="B82" s="60"/>
      <c r="C82" s="100"/>
      <c r="D82" s="61"/>
      <c r="E82" s="61"/>
      <c r="F82" s="100"/>
      <c r="G82" s="100"/>
      <c r="H82" s="100"/>
      <c r="I82" s="57"/>
      <c r="J82" s="57"/>
      <c r="K82" s="57"/>
      <c r="L82" s="100"/>
      <c r="Q82" s="100"/>
    </row>
    <row r="83" spans="1:17" ht="15" customHeight="1" x14ac:dyDescent="0.25">
      <c r="A83" s="100"/>
      <c r="B83" s="63"/>
      <c r="C83" s="100"/>
      <c r="D83" s="61"/>
      <c r="E83" s="57"/>
      <c r="F83" s="100"/>
      <c r="G83" s="100"/>
      <c r="H83" s="100"/>
      <c r="I83" s="101"/>
      <c r="J83" s="101"/>
      <c r="K83" s="57"/>
      <c r="L83" s="100"/>
      <c r="Q83" s="100"/>
    </row>
    <row r="84" spans="1:17" ht="15" customHeight="1" x14ac:dyDescent="0.25">
      <c r="A84" s="100"/>
      <c r="B84" s="63"/>
      <c r="C84" s="100"/>
      <c r="D84" s="61"/>
      <c r="E84" s="57"/>
      <c r="F84" s="100"/>
      <c r="G84" s="100"/>
      <c r="H84" s="100"/>
      <c r="I84" s="57"/>
      <c r="J84" s="57"/>
      <c r="K84" s="57"/>
      <c r="L84" s="100"/>
      <c r="Q84" s="100"/>
    </row>
    <row r="85" spans="1:17" ht="15" customHeight="1" x14ac:dyDescent="0.25">
      <c r="A85" s="100"/>
      <c r="B85" s="63"/>
      <c r="C85" s="100"/>
      <c r="D85" s="61"/>
      <c r="E85" s="57"/>
      <c r="F85" s="100"/>
      <c r="G85" s="100"/>
      <c r="H85" s="100"/>
      <c r="I85" s="101"/>
      <c r="J85" s="101"/>
      <c r="K85" s="57"/>
      <c r="L85" s="100"/>
      <c r="Q85" s="100"/>
    </row>
    <row r="86" spans="1:17" ht="15" customHeight="1" x14ac:dyDescent="0.25">
      <c r="A86" s="100"/>
      <c r="B86" s="63"/>
      <c r="C86" s="100"/>
      <c r="D86" s="61"/>
      <c r="E86" s="57"/>
      <c r="F86" s="100"/>
      <c r="G86" s="100"/>
      <c r="H86" s="100"/>
      <c r="I86" s="57"/>
      <c r="J86" s="57"/>
      <c r="K86" s="57"/>
      <c r="L86" s="100"/>
      <c r="Q86" s="100"/>
    </row>
    <row r="87" spans="1:17" ht="15" customHeight="1" x14ac:dyDescent="0.25">
      <c r="A87" s="100"/>
      <c r="B87" s="63"/>
      <c r="C87" s="100"/>
      <c r="D87" s="61"/>
      <c r="E87" s="57"/>
      <c r="F87" s="100"/>
      <c r="G87" s="100"/>
      <c r="H87" s="100"/>
      <c r="I87" s="101"/>
      <c r="J87" s="101"/>
      <c r="K87" s="57"/>
      <c r="L87" s="100"/>
      <c r="Q87" s="100"/>
    </row>
    <row r="88" spans="1:17" ht="15" customHeight="1" x14ac:dyDescent="0.25">
      <c r="A88" s="100"/>
      <c r="B88" s="59"/>
      <c r="C88" s="66"/>
      <c r="D88" s="66"/>
      <c r="E88" s="57"/>
      <c r="F88" s="100"/>
      <c r="G88" s="100"/>
      <c r="H88" s="100"/>
      <c r="I88" s="67"/>
      <c r="J88" s="67"/>
      <c r="K88" s="57"/>
      <c r="L88" s="100"/>
      <c r="Q88" s="100"/>
    </row>
    <row r="89" spans="1:17" ht="15" customHeight="1" x14ac:dyDescent="0.25">
      <c r="A89" s="100"/>
      <c r="B89" s="60"/>
      <c r="C89" s="58"/>
      <c r="D89" s="61"/>
      <c r="E89" s="61"/>
      <c r="F89" s="61"/>
      <c r="G89" s="61"/>
      <c r="H89" s="61"/>
      <c r="I89" s="57"/>
      <c r="J89" s="57"/>
      <c r="K89" s="57"/>
      <c r="L89" s="100"/>
      <c r="Q89" s="100"/>
    </row>
    <row r="90" spans="1:17" ht="15" customHeight="1" x14ac:dyDescent="0.25">
      <c r="A90" s="100"/>
      <c r="B90" s="63"/>
      <c r="C90" s="100"/>
      <c r="D90" s="61"/>
      <c r="E90" s="57"/>
      <c r="F90" s="100"/>
      <c r="G90" s="100"/>
      <c r="H90" s="100"/>
      <c r="I90" s="62"/>
      <c r="J90" s="62"/>
      <c r="K90" s="68"/>
      <c r="L90" s="100"/>
      <c r="Q90" s="100"/>
    </row>
    <row r="91" spans="1:17" ht="24.75" customHeight="1" x14ac:dyDescent="0.25">
      <c r="A91" s="100"/>
      <c r="B91" s="57"/>
      <c r="C91" s="66"/>
      <c r="D91" s="67"/>
      <c r="E91" s="57"/>
      <c r="F91" s="57"/>
      <c r="G91" s="57"/>
      <c r="H91" s="57"/>
      <c r="I91" s="67"/>
      <c r="J91" s="67"/>
      <c r="K91" s="57"/>
      <c r="L91" s="100"/>
      <c r="Q91" s="100"/>
    </row>
    <row r="92" spans="1:17" x14ac:dyDescent="0.25">
      <c r="A92" s="100"/>
      <c r="B92" s="100"/>
      <c r="C92" s="100"/>
      <c r="D92" s="100"/>
      <c r="E92" s="100"/>
      <c r="F92" s="100"/>
      <c r="G92" s="100"/>
      <c r="H92" s="100"/>
      <c r="I92" s="100"/>
      <c r="J92" s="100"/>
      <c r="K92" s="100"/>
      <c r="L92" s="100"/>
      <c r="Q92" s="100"/>
    </row>
  </sheetData>
  <sheetProtection algorithmName="SHA-512" hashValue="lubM4Fo0IwXWEPQwPdnL/DHB6DnxCnb54vFOeSiuCtRFCHy0wGno8ugANehobnB6wB+yMaQ5jmuj+Kfokeotwg==" saltValue="WCckjVg39TSZtx0A1z7g8w==" spinCount="100000" sheet="1" objects="1" scenarios="1"/>
  <mergeCells count="80">
    <mergeCell ref="B12:I12"/>
    <mergeCell ref="M17:N17"/>
    <mergeCell ref="B29:X29"/>
    <mergeCell ref="B16:X16"/>
    <mergeCell ref="K30:L30"/>
    <mergeCell ref="O30:P30"/>
    <mergeCell ref="Q30:R30"/>
    <mergeCell ref="S30:T30"/>
    <mergeCell ref="U30:V30"/>
    <mergeCell ref="U17:V17"/>
    <mergeCell ref="X17:X18"/>
    <mergeCell ref="K17:L17"/>
    <mergeCell ref="M30:N30"/>
    <mergeCell ref="O17:P17"/>
    <mergeCell ref="Q17:R17"/>
    <mergeCell ref="S17:T17"/>
    <mergeCell ref="C47:E47"/>
    <mergeCell ref="I30:I31"/>
    <mergeCell ref="F30:G30"/>
    <mergeCell ref="H30:H31"/>
    <mergeCell ref="X30:X31"/>
    <mergeCell ref="Q43:R43"/>
    <mergeCell ref="S43:T43"/>
    <mergeCell ref="C45:E45"/>
    <mergeCell ref="G43:H43"/>
    <mergeCell ref="K43:L43"/>
    <mergeCell ref="M43:N43"/>
    <mergeCell ref="O43:P43"/>
    <mergeCell ref="C48:E48"/>
    <mergeCell ref="I43:I44"/>
    <mergeCell ref="C43:E44"/>
    <mergeCell ref="F43:F44"/>
    <mergeCell ref="B13:H13"/>
    <mergeCell ref="B30:B31"/>
    <mergeCell ref="B43:B44"/>
    <mergeCell ref="C33:D33"/>
    <mergeCell ref="C34:D34"/>
    <mergeCell ref="C35:D35"/>
    <mergeCell ref="C36:D36"/>
    <mergeCell ref="C21:F21"/>
    <mergeCell ref="C30:D31"/>
    <mergeCell ref="C32:D32"/>
    <mergeCell ref="E30:E31"/>
    <mergeCell ref="C46:E46"/>
    <mergeCell ref="B56:X56"/>
    <mergeCell ref="H57:I57"/>
    <mergeCell ref="K57:L57"/>
    <mergeCell ref="M57:N57"/>
    <mergeCell ref="O57:P57"/>
    <mergeCell ref="Q57:R57"/>
    <mergeCell ref="S57:T57"/>
    <mergeCell ref="U57:V57"/>
    <mergeCell ref="X57:X58"/>
    <mergeCell ref="B57:B58"/>
    <mergeCell ref="F57:G57"/>
    <mergeCell ref="E57:E58"/>
    <mergeCell ref="D57:D58"/>
    <mergeCell ref="C57:C58"/>
    <mergeCell ref="Y7:Y8"/>
    <mergeCell ref="AB5:AC5"/>
    <mergeCell ref="AD5:AE5"/>
    <mergeCell ref="B25:C26"/>
    <mergeCell ref="B52:C53"/>
    <mergeCell ref="U43:V43"/>
    <mergeCell ref="X43:X44"/>
    <mergeCell ref="B42:X42"/>
    <mergeCell ref="Y9:Y10"/>
    <mergeCell ref="B17:B18"/>
    <mergeCell ref="G17:G18"/>
    <mergeCell ref="H17:H18"/>
    <mergeCell ref="C20:F20"/>
    <mergeCell ref="C17:F18"/>
    <mergeCell ref="C19:F19"/>
    <mergeCell ref="I17:I18"/>
    <mergeCell ref="B5:I5"/>
    <mergeCell ref="B8:C8"/>
    <mergeCell ref="B9:C9"/>
    <mergeCell ref="B7:C7"/>
    <mergeCell ref="B11:H11"/>
    <mergeCell ref="B10:I10"/>
  </mergeCells>
  <conditionalFormatting sqref="I13">
    <cfRule type="cellIs" dxfId="1" priority="2" operator="greaterThan">
      <formula>365</formula>
    </cfRule>
  </conditionalFormatting>
  <dataValidations disablePrompts="1" xWindow="704" yWindow="455" count="4">
    <dataValidation type="list" allowBlank="1" showInputMessage="1" showErrorMessage="1" sqref="C32:D36">
      <formula1>INDIRECT(SUBSTITUTE(B32," ",""))</formula1>
    </dataValidation>
    <dataValidation type="list" allowBlank="1" showInputMessage="1" showErrorMessage="1" sqref="B59:B63">
      <formula1>FLOWREF</formula1>
    </dataValidation>
    <dataValidation type="list" allowBlank="1" showInputMessage="1" showErrorMessage="1" sqref="I45:I48 I19:I21">
      <formula1>"Yes,No"</formula1>
    </dataValidation>
    <dataValidation type="list" allowBlank="1" showInputMessage="1" showErrorMessage="1" sqref="B32:B36">
      <formula1>FLUSHREF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lushAdd">
                <anchor moveWithCells="1">
                  <from>
                    <xdr:col>1</xdr:col>
                    <xdr:colOff>9525</xdr:colOff>
                    <xdr:row>37</xdr:row>
                    <xdr:rowOff>123825</xdr:rowOff>
                  </from>
                  <to>
                    <xdr:col>2</xdr:col>
                    <xdr:colOff>933450</xdr:colOff>
                    <xdr:row>38</xdr:row>
                    <xdr:rowOff>133350</xdr:rowOff>
                  </to>
                </anchor>
              </controlPr>
            </control>
          </mc:Choice>
        </mc:AlternateContent>
        <mc:AlternateContent xmlns:mc="http://schemas.openxmlformats.org/markup-compatibility/2006">
          <mc:Choice Requires="x14">
            <control shapeId="3075" r:id="rId5" name="Button 3">
              <controlPr defaultSize="0" print="0" autoFill="0" autoPict="0" macro="[0]!FlowAdd">
                <anchor moveWithCells="1">
                  <from>
                    <xdr:col>1</xdr:col>
                    <xdr:colOff>9525</xdr:colOff>
                    <xdr:row>64</xdr:row>
                    <xdr:rowOff>95250</xdr:rowOff>
                  </from>
                  <to>
                    <xdr:col>2</xdr:col>
                    <xdr:colOff>933450</xdr:colOff>
                    <xdr:row>65</xdr:row>
                    <xdr:rowOff>104775</xdr:rowOff>
                  </to>
                </anchor>
              </controlPr>
            </control>
          </mc:Choice>
        </mc:AlternateContent>
        <mc:AlternateContent xmlns:mc="http://schemas.openxmlformats.org/markup-compatibility/2006">
          <mc:Choice Requires="x14">
            <control shapeId="3117" r:id="rId6" name="Button 45">
              <controlPr defaultSize="0" print="0" autoFill="0" autoPict="0" macro="[0]!DeleteA">
                <anchor moveWithCells="1">
                  <from>
                    <xdr:col>2</xdr:col>
                    <xdr:colOff>990600</xdr:colOff>
                    <xdr:row>37</xdr:row>
                    <xdr:rowOff>123825</xdr:rowOff>
                  </from>
                  <to>
                    <xdr:col>3</xdr:col>
                    <xdr:colOff>314325</xdr:colOff>
                    <xdr:row>38</xdr:row>
                    <xdr:rowOff>133350</xdr:rowOff>
                  </to>
                </anchor>
              </controlPr>
            </control>
          </mc:Choice>
        </mc:AlternateContent>
        <mc:AlternateContent xmlns:mc="http://schemas.openxmlformats.org/markup-compatibility/2006">
          <mc:Choice Requires="x14">
            <control shapeId="3118" r:id="rId7" name="Button 46">
              <controlPr defaultSize="0" print="0" autoFill="0" autoPict="0" macro="[0]!DeleteB">
                <anchor moveWithCells="1">
                  <from>
                    <xdr:col>2</xdr:col>
                    <xdr:colOff>1000125</xdr:colOff>
                    <xdr:row>64</xdr:row>
                    <xdr:rowOff>104775</xdr:rowOff>
                  </from>
                  <to>
                    <xdr:col>3</xdr:col>
                    <xdr:colOff>314325</xdr:colOff>
                    <xdr:row>65</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92"/>
  <sheetViews>
    <sheetView showGridLines="0" topLeftCell="A55" zoomScale="90" zoomScaleNormal="90" zoomScalePageLayoutView="80" workbookViewId="0">
      <selection activeCell="D60" sqref="D60"/>
    </sheetView>
  </sheetViews>
  <sheetFormatPr defaultColWidth="9.140625" defaultRowHeight="12.75" x14ac:dyDescent="0.25"/>
  <cols>
    <col min="1" max="1" width="2.42578125" style="84" customWidth="1"/>
    <col min="2" max="2" width="6.85546875" style="84" customWidth="1"/>
    <col min="3" max="3" width="30.7109375" style="84" customWidth="1"/>
    <col min="4" max="8" width="12.7109375" style="84" customWidth="1"/>
    <col min="9" max="9" width="12.42578125" style="84" customWidth="1"/>
    <col min="10" max="10" width="2.5703125" style="84" customWidth="1"/>
    <col min="11" max="22" width="12.7109375" style="84" customWidth="1"/>
    <col min="23" max="23" width="2.5703125" style="84" customWidth="1"/>
    <col min="24" max="24" width="12.7109375" style="84" customWidth="1"/>
    <col min="25" max="31" width="12.7109375" style="84" hidden="1" customWidth="1"/>
    <col min="32" max="16384" width="9.140625" style="84"/>
  </cols>
  <sheetData>
    <row r="1" spans="1:31" ht="15" customHeight="1" x14ac:dyDescent="0.25">
      <c r="A1" s="82"/>
      <c r="B1" s="82"/>
      <c r="C1" s="83"/>
      <c r="D1" s="82"/>
      <c r="E1" s="82"/>
      <c r="F1" s="82"/>
      <c r="G1" s="82"/>
      <c r="H1" s="82"/>
      <c r="I1" s="82"/>
      <c r="J1" s="82"/>
      <c r="K1" s="82"/>
      <c r="L1" s="82"/>
      <c r="M1" s="82"/>
      <c r="N1" s="82"/>
      <c r="O1" s="82"/>
      <c r="P1" s="82"/>
      <c r="Q1" s="82"/>
      <c r="R1" s="82"/>
      <c r="S1" s="82"/>
      <c r="T1" s="82"/>
      <c r="U1" s="82"/>
      <c r="V1" s="82"/>
      <c r="W1" s="82"/>
      <c r="X1" s="82"/>
    </row>
    <row r="2" spans="1:31" ht="24.75" x14ac:dyDescent="0.25">
      <c r="A2" s="47"/>
      <c r="B2" s="70" t="str">
        <f ca="1">REPLACE(CELL("filename",A1),1,FIND("]",CELL("filename",A1)),"")</f>
        <v>Group 1</v>
      </c>
      <c r="C2" s="48"/>
      <c r="D2" s="48"/>
      <c r="E2" s="49"/>
      <c r="F2" s="48"/>
      <c r="G2" s="48"/>
      <c r="H2" s="48"/>
      <c r="I2" s="48"/>
      <c r="J2" s="48"/>
      <c r="K2" s="48"/>
      <c r="L2" s="48"/>
      <c r="M2" s="48"/>
      <c r="N2" s="48"/>
      <c r="O2" s="48"/>
      <c r="P2" s="48"/>
      <c r="Q2" s="48"/>
      <c r="R2" s="48"/>
      <c r="S2" s="48"/>
      <c r="T2" s="48"/>
      <c r="U2" s="48"/>
      <c r="V2" s="48"/>
      <c r="W2" s="48"/>
      <c r="X2" s="48"/>
    </row>
    <row r="3" spans="1:31" ht="15" customHeight="1" x14ac:dyDescent="0.25">
      <c r="A3" s="82"/>
      <c r="B3" s="82"/>
      <c r="C3" s="83"/>
      <c r="D3" s="82"/>
      <c r="E3" s="82"/>
      <c r="F3" s="82"/>
      <c r="G3" s="82"/>
      <c r="H3" s="82"/>
      <c r="I3" s="82"/>
      <c r="J3" s="82"/>
      <c r="K3" s="82"/>
      <c r="L3" s="82"/>
      <c r="M3" s="82"/>
      <c r="N3" s="82"/>
      <c r="O3" s="82"/>
      <c r="P3" s="82"/>
      <c r="Q3" s="82"/>
      <c r="R3" s="82"/>
      <c r="S3" s="82"/>
      <c r="T3" s="82"/>
      <c r="U3" s="82"/>
      <c r="V3" s="82"/>
      <c r="W3" s="82"/>
      <c r="X3" s="82"/>
    </row>
    <row r="4" spans="1:31" s="85" customFormat="1" ht="30.75" customHeight="1" x14ac:dyDescent="0.2">
      <c r="B4" s="69" t="s">
        <v>18</v>
      </c>
    </row>
    <row r="5" spans="1:31" s="85" customFormat="1" ht="48" customHeight="1" x14ac:dyDescent="0.25">
      <c r="B5" s="430" t="s">
        <v>120</v>
      </c>
      <c r="C5" s="431"/>
      <c r="D5" s="431"/>
      <c r="E5" s="431"/>
      <c r="F5" s="431"/>
      <c r="G5" s="431"/>
      <c r="H5" s="431"/>
      <c r="I5" s="431"/>
      <c r="J5" s="144"/>
      <c r="K5" s="144"/>
      <c r="L5" s="144"/>
      <c r="M5" s="144"/>
      <c r="N5" s="144"/>
      <c r="O5" s="144"/>
      <c r="P5" s="144"/>
      <c r="Q5" s="144"/>
      <c r="R5" s="86"/>
      <c r="S5" s="86"/>
      <c r="T5" s="86"/>
      <c r="U5" s="86"/>
      <c r="AB5" s="443" t="s">
        <v>42</v>
      </c>
      <c r="AC5" s="444"/>
      <c r="AD5" s="443" t="s">
        <v>43</v>
      </c>
      <c r="AE5" s="444"/>
    </row>
    <row r="6" spans="1:31" s="87" customFormat="1" ht="50.25" customHeight="1" x14ac:dyDescent="0.25">
      <c r="B6" s="142"/>
      <c r="C6" s="143"/>
      <c r="D6" s="132" t="s">
        <v>78</v>
      </c>
      <c r="E6" s="133" t="s">
        <v>70</v>
      </c>
      <c r="F6" s="133" t="s">
        <v>19</v>
      </c>
      <c r="G6" s="377" t="s">
        <v>118</v>
      </c>
      <c r="H6" s="133" t="s">
        <v>3</v>
      </c>
      <c r="I6" s="376" t="s">
        <v>109</v>
      </c>
      <c r="J6" s="145"/>
      <c r="K6" s="144"/>
      <c r="L6" s="144"/>
      <c r="M6" s="144"/>
      <c r="N6" s="144"/>
      <c r="O6" s="144"/>
      <c r="P6" s="144"/>
      <c r="Q6" s="144"/>
      <c r="R6" s="78"/>
      <c r="S6" s="86"/>
      <c r="T6" s="78"/>
      <c r="AB6" s="106" t="s">
        <v>44</v>
      </c>
      <c r="AC6" s="106" t="s">
        <v>45</v>
      </c>
      <c r="AD6" s="106" t="s">
        <v>44</v>
      </c>
      <c r="AE6" s="106" t="s">
        <v>45</v>
      </c>
    </row>
    <row r="7" spans="1:31" ht="15" customHeight="1" x14ac:dyDescent="0.25">
      <c r="B7" s="436" t="s">
        <v>0</v>
      </c>
      <c r="C7" s="437"/>
      <c r="D7" s="231">
        <v>0</v>
      </c>
      <c r="E7" s="232"/>
      <c r="F7" s="232"/>
      <c r="G7" s="232">
        <v>167</v>
      </c>
      <c r="H7" s="232"/>
      <c r="I7" s="233"/>
      <c r="J7" s="146"/>
      <c r="K7" s="100"/>
      <c r="L7" s="100"/>
      <c r="M7" s="100"/>
      <c r="N7" s="100"/>
      <c r="O7" s="100"/>
      <c r="P7" s="100"/>
      <c r="Q7" s="100"/>
      <c r="R7" s="79"/>
      <c r="S7" s="85"/>
      <c r="T7" s="80"/>
      <c r="Y7" s="441" t="s">
        <v>15</v>
      </c>
      <c r="Z7" s="50" t="s">
        <v>57</v>
      </c>
      <c r="AA7" s="340">
        <f>I22</f>
        <v>219438</v>
      </c>
      <c r="AB7" s="42" t="str">
        <f>IF(I19="Yes",B19,"")</f>
        <v>_1</v>
      </c>
      <c r="AC7" s="43" t="str">
        <f t="array" aca="1" ref="AC7" ca="1">IFERROR(INDEX(AB7:AB9,SMALL((IF(LEN(AB7:AB9),ROW(INDIRECT("1:"&amp;ROWS(AB7:AB9))))),ROW(A1)),1),"")</f>
        <v>_1</v>
      </c>
      <c r="AD7" s="42" t="str">
        <f>IF(I45="Yes",B45,"")</f>
        <v>_A</v>
      </c>
      <c r="AE7" s="42" t="str">
        <f t="array" aca="1" ref="AE7" ca="1">IFERROR(INDEX(AD7:AD10,SMALL((IF(LEN(AD7:AD10),ROW(INDIRECT("1:"&amp;ROWS(AD7:AD10))))),ROW(A1)),1),"")</f>
        <v>_A</v>
      </c>
    </row>
    <row r="8" spans="1:31" ht="15" customHeight="1" x14ac:dyDescent="0.25">
      <c r="B8" s="432" t="s">
        <v>1</v>
      </c>
      <c r="C8" s="433"/>
      <c r="D8" s="234">
        <f>D7</f>
        <v>0</v>
      </c>
      <c r="E8" s="235">
        <f t="shared" ref="E8:I8" si="0">E7/2</f>
        <v>0</v>
      </c>
      <c r="F8" s="235">
        <f t="shared" si="0"/>
        <v>0</v>
      </c>
      <c r="G8" s="235">
        <f>G7</f>
        <v>167</v>
      </c>
      <c r="H8" s="235">
        <f t="shared" si="0"/>
        <v>0</v>
      </c>
      <c r="I8" s="236">
        <f t="shared" si="0"/>
        <v>0</v>
      </c>
      <c r="J8" s="146"/>
      <c r="K8" s="100"/>
      <c r="L8" s="100"/>
      <c r="M8" s="100"/>
      <c r="N8" s="100"/>
      <c r="O8" s="100"/>
      <c r="P8" s="100"/>
      <c r="Q8" s="100"/>
      <c r="R8" s="81"/>
      <c r="S8" s="85"/>
      <c r="T8" s="81"/>
      <c r="Y8" s="442"/>
      <c r="Z8" s="50" t="s">
        <v>56</v>
      </c>
      <c r="AA8" s="340">
        <f>I49</f>
        <v>975280</v>
      </c>
      <c r="AB8" s="44" t="str">
        <f>IF(I20="Yes",B20,"")</f>
        <v/>
      </c>
      <c r="AC8" s="45" t="str">
        <f t="array" aca="1" ref="AC8" ca="1">IFERROR(INDEX(AB7:AB9,SMALL((IF(LEN(AB7:AB9),ROW(INDIRECT("1:"&amp;ROWS(AB7:AB9))))),ROW(A2)),1),"")</f>
        <v>_3</v>
      </c>
      <c r="AD8" s="44" t="str">
        <f>IF(I46="Yes",B46,"")</f>
        <v>_B</v>
      </c>
      <c r="AE8" s="44" t="str">
        <f t="array" aca="1" ref="AE8" ca="1">IFERROR(INDEX(AD7:AD10,SMALL((IF(LEN(AD7:AD10),ROW(INDIRECT("1:"&amp;ROWS(AD7:AD10))))),ROW(A2)),1),"")</f>
        <v>_B</v>
      </c>
    </row>
    <row r="9" spans="1:31" ht="15" customHeight="1" x14ac:dyDescent="0.25">
      <c r="B9" s="434" t="s">
        <v>2</v>
      </c>
      <c r="C9" s="435"/>
      <c r="D9" s="237">
        <f>D7-D8</f>
        <v>0</v>
      </c>
      <c r="E9" s="238">
        <f t="shared" ref="E9:I9" si="1">E7/2</f>
        <v>0</v>
      </c>
      <c r="F9" s="238">
        <f t="shared" si="1"/>
        <v>0</v>
      </c>
      <c r="G9" s="238">
        <f>G7-G8</f>
        <v>0</v>
      </c>
      <c r="H9" s="238">
        <f t="shared" si="1"/>
        <v>0</v>
      </c>
      <c r="I9" s="239">
        <f t="shared" si="1"/>
        <v>0</v>
      </c>
      <c r="J9" s="146"/>
      <c r="K9" s="100"/>
      <c r="L9" s="100"/>
      <c r="M9" s="100"/>
      <c r="N9" s="100"/>
      <c r="O9" s="100"/>
      <c r="P9" s="100"/>
      <c r="Q9" s="100"/>
      <c r="R9" s="81"/>
      <c r="S9" s="85"/>
      <c r="T9" s="81"/>
      <c r="Y9" s="452" t="s">
        <v>58</v>
      </c>
      <c r="Z9" s="50" t="s">
        <v>57</v>
      </c>
      <c r="AA9" s="341">
        <f>I37</f>
        <v>93261.15</v>
      </c>
      <c r="AB9" s="44" t="str">
        <f>IF(I21="Yes",B21,"")</f>
        <v>_3</v>
      </c>
      <c r="AC9" s="45" t="str">
        <f t="array" aca="1" ref="AC9" ca="1">IFERROR(INDEX(AB7:AB9,SMALL((IF(LEN(AB7:AB9),ROW(INDIRECT("1:"&amp;ROWS(AB7:AB9))))),ROW(A3)),1),"")</f>
        <v/>
      </c>
      <c r="AD9" s="44" t="str">
        <f>IF(I47="Yes",B47,"")</f>
        <v>_C</v>
      </c>
      <c r="AE9" s="44" t="str">
        <f t="array" aca="1" ref="AE9" ca="1">IFERROR(INDEX(AD7:AD10,SMALL((IF(LEN(AD7:AD10),ROW(INDIRECT("1:"&amp;ROWS(AD7:AD10))))),ROW(A3)),1),"")</f>
        <v>_C</v>
      </c>
    </row>
    <row r="10" spans="1:31" ht="42" customHeight="1" x14ac:dyDescent="0.2">
      <c r="B10" s="440" t="s">
        <v>119</v>
      </c>
      <c r="C10" s="440"/>
      <c r="D10" s="440"/>
      <c r="E10" s="440"/>
      <c r="F10" s="440"/>
      <c r="G10" s="440"/>
      <c r="H10" s="440"/>
      <c r="I10" s="440"/>
      <c r="J10" s="100"/>
      <c r="K10" s="100"/>
      <c r="L10" s="100"/>
      <c r="R10" s="85"/>
      <c r="S10" s="85"/>
      <c r="T10" s="85"/>
      <c r="Y10" s="453"/>
      <c r="Z10" s="50" t="s">
        <v>56</v>
      </c>
      <c r="AA10" s="341">
        <f>I64</f>
        <v>721404.25</v>
      </c>
      <c r="AD10" s="44" t="str">
        <f>IF(I48="Yes",B48,"")</f>
        <v>_D</v>
      </c>
      <c r="AE10" s="44" t="str">
        <f t="array" aca="1" ref="AE10" ca="1">IFERROR(INDEX(AD7:AD10,SMALL((IF(LEN(AD7:AD10),ROW(INDIRECT("1:"&amp;ROWS(AD7:AD10))))),ROW(A4)),1),"")</f>
        <v>_D</v>
      </c>
    </row>
    <row r="11" spans="1:31" ht="23.25" customHeight="1" x14ac:dyDescent="0.25">
      <c r="B11" s="438" t="s">
        <v>48</v>
      </c>
      <c r="C11" s="439"/>
      <c r="D11" s="439"/>
      <c r="E11" s="439"/>
      <c r="F11" s="439"/>
      <c r="G11" s="439"/>
      <c r="H11" s="439"/>
      <c r="I11" s="240">
        <v>1</v>
      </c>
      <c r="J11" s="100"/>
      <c r="K11" s="378"/>
      <c r="L11" s="147"/>
      <c r="M11" s="51"/>
      <c r="N11" s="51"/>
      <c r="O11" s="51"/>
      <c r="P11" s="51"/>
      <c r="Q11" s="51"/>
      <c r="R11" s="51"/>
      <c r="S11" s="51"/>
      <c r="T11" s="51"/>
      <c r="U11" s="51"/>
    </row>
    <row r="12" spans="1:31" ht="27" customHeight="1" x14ac:dyDescent="0.2">
      <c r="B12" s="491" t="s">
        <v>121</v>
      </c>
      <c r="C12" s="491"/>
      <c r="D12" s="491"/>
      <c r="E12" s="491"/>
      <c r="F12" s="491"/>
      <c r="G12" s="491"/>
      <c r="H12" s="491"/>
      <c r="I12" s="491"/>
      <c r="J12" s="100"/>
      <c r="K12" s="100"/>
      <c r="L12" s="100"/>
    </row>
    <row r="13" spans="1:31" ht="24" customHeight="1" x14ac:dyDescent="0.25">
      <c r="B13" s="438" t="s">
        <v>24</v>
      </c>
      <c r="C13" s="439"/>
      <c r="D13" s="439"/>
      <c r="E13" s="439"/>
      <c r="F13" s="439"/>
      <c r="G13" s="439"/>
      <c r="H13" s="439"/>
      <c r="I13" s="241">
        <v>365</v>
      </c>
      <c r="J13" s="100"/>
      <c r="K13" s="100"/>
      <c r="L13" s="147"/>
      <c r="M13" s="51"/>
      <c r="N13" s="51"/>
      <c r="O13" s="51"/>
      <c r="P13" s="51"/>
      <c r="Q13" s="51"/>
      <c r="R13" s="51"/>
      <c r="S13" s="51"/>
      <c r="T13" s="51"/>
      <c r="U13" s="51"/>
    </row>
    <row r="14" spans="1:31" ht="24" customHeight="1" x14ac:dyDescent="0.25">
      <c r="B14" s="102" t="str">
        <f>IF(I13&gt;365,"Annual days of operation must be between 1 and 365.","")</f>
        <v/>
      </c>
      <c r="J14" s="100"/>
      <c r="K14" s="100"/>
      <c r="L14" s="100"/>
    </row>
    <row r="15" spans="1:31" s="85" customFormat="1" ht="24" customHeight="1" x14ac:dyDescent="0.2">
      <c r="B15" s="69" t="s">
        <v>25</v>
      </c>
      <c r="E15" s="52"/>
      <c r="F15" s="52"/>
      <c r="G15" s="52"/>
      <c r="H15" s="52"/>
      <c r="I15" s="52"/>
      <c r="J15" s="52"/>
      <c r="K15" s="52"/>
      <c r="L15" s="52"/>
      <c r="M15" s="52"/>
      <c r="N15" s="52"/>
      <c r="O15" s="52"/>
      <c r="P15" s="52"/>
      <c r="Q15" s="52"/>
      <c r="R15" s="52"/>
      <c r="S15" s="52"/>
      <c r="T15" s="52"/>
      <c r="U15" s="52"/>
    </row>
    <row r="16" spans="1:31" s="85" customFormat="1" ht="48" customHeight="1" x14ac:dyDescent="0.25">
      <c r="B16" s="451" t="s">
        <v>80</v>
      </c>
      <c r="C16" s="451"/>
      <c r="D16" s="451"/>
      <c r="E16" s="451"/>
      <c r="F16" s="451"/>
      <c r="G16" s="451"/>
      <c r="H16" s="451"/>
      <c r="I16" s="451"/>
      <c r="J16" s="451"/>
      <c r="K16" s="451"/>
      <c r="L16" s="451"/>
      <c r="M16" s="451"/>
      <c r="N16" s="451"/>
      <c r="O16" s="451"/>
      <c r="P16" s="451"/>
      <c r="Q16" s="451"/>
      <c r="R16" s="451"/>
      <c r="S16" s="451"/>
      <c r="T16" s="451"/>
      <c r="U16" s="451"/>
      <c r="V16" s="451"/>
      <c r="W16" s="451"/>
      <c r="X16" s="451"/>
    </row>
    <row r="17" spans="1:27" ht="19.5" customHeight="1" x14ac:dyDescent="0.25">
      <c r="B17" s="454" t="s">
        <v>11</v>
      </c>
      <c r="C17" s="456" t="s">
        <v>26</v>
      </c>
      <c r="D17" s="460"/>
      <c r="E17" s="460"/>
      <c r="F17" s="460"/>
      <c r="G17" s="456" t="s">
        <v>12</v>
      </c>
      <c r="H17" s="456" t="str">
        <f>IF(Instructions!U40=1,"Default Flush Rate 
(gpf)","Default Flush Rate 
(lpf)")</f>
        <v>Default Flush Rate 
(gpf)</v>
      </c>
      <c r="I17" s="464" t="s">
        <v>81</v>
      </c>
      <c r="J17" s="109"/>
      <c r="K17" s="470" t="s">
        <v>79</v>
      </c>
      <c r="L17" s="448"/>
      <c r="M17" s="470" t="s">
        <v>70</v>
      </c>
      <c r="N17" s="469"/>
      <c r="O17" s="447" t="s">
        <v>19</v>
      </c>
      <c r="P17" s="448"/>
      <c r="Q17" s="470" t="s">
        <v>50</v>
      </c>
      <c r="R17" s="469"/>
      <c r="S17" s="447" t="s">
        <v>3</v>
      </c>
      <c r="T17" s="448"/>
      <c r="U17" s="470" t="str">
        <f>IF($I$6="Other (please specify)","Other",$I$6)</f>
        <v>Other (specify)</v>
      </c>
      <c r="V17" s="469"/>
      <c r="W17" s="131"/>
      <c r="X17" s="449" t="str">
        <f>IF(Instructions!$U$40=1,"Total Daily Water Use 
(gpf)","Total Daily Water Use 
(lpf)")</f>
        <v>Total Daily Water Use 
(gpf)</v>
      </c>
    </row>
    <row r="18" spans="1:27" s="90" customFormat="1" ht="54" customHeight="1" x14ac:dyDescent="0.25">
      <c r="B18" s="455"/>
      <c r="C18" s="461"/>
      <c r="D18" s="461"/>
      <c r="E18" s="461"/>
      <c r="F18" s="461"/>
      <c r="G18" s="457"/>
      <c r="H18" s="457"/>
      <c r="I18" s="465"/>
      <c r="J18" s="128"/>
      <c r="K18" s="108" t="s">
        <v>77</v>
      </c>
      <c r="L18" s="89" t="str">
        <f>IF(Instructions!$U$40=1,"Daily Water Use 
(gpf)","Daily Water Use 
(lpf)")</f>
        <v>Daily Water Use 
(gpf)</v>
      </c>
      <c r="M18" s="108" t="s">
        <v>77</v>
      </c>
      <c r="N18" s="91" t="str">
        <f>IF(Instructions!$U$40=1,"Daily Water Use 
(gpf)","Daily Water Use 
(lpf)")</f>
        <v>Daily Water Use 
(gpf)</v>
      </c>
      <c r="O18" s="388" t="s">
        <v>77</v>
      </c>
      <c r="P18" s="89" t="str">
        <f>IF(Instructions!$U$40=1,"Daily Water Use 
(gpf)","Daily Water Use 
(lpf)")</f>
        <v>Daily Water Use 
(gpf)</v>
      </c>
      <c r="Q18" s="108" t="s">
        <v>77</v>
      </c>
      <c r="R18" s="91" t="str">
        <f>IF(Instructions!$U$40=1,"Daily Water Use 
(gpf)","Daily Water Use 
(lpf)")</f>
        <v>Daily Water Use 
(gpf)</v>
      </c>
      <c r="S18" s="388" t="s">
        <v>77</v>
      </c>
      <c r="T18" s="89" t="str">
        <f>IF(Instructions!$U$40=1,"Daily Water Use 
(gpf)","Daily Water Use 
(lpf)")</f>
        <v>Daily Water Use 
(gpf)</v>
      </c>
      <c r="U18" s="108" t="s">
        <v>77</v>
      </c>
      <c r="V18" s="91" t="str">
        <f>IF(Instructions!$U$40=1,"Daily Water Use 
(gpf)","Daily Water Use 
(lpf)")</f>
        <v>Daily Water Use 
(gpf)</v>
      </c>
      <c r="W18" s="92"/>
      <c r="X18" s="450"/>
      <c r="Y18" s="53"/>
      <c r="Z18" s="53"/>
      <c r="AA18" s="53"/>
    </row>
    <row r="19" spans="1:27" ht="15" customHeight="1" x14ac:dyDescent="0.25">
      <c r="B19" s="242" t="s">
        <v>35</v>
      </c>
      <c r="C19" s="462" t="str">
        <f>Instructions!$C$27</f>
        <v xml:space="preserve">Toilet </v>
      </c>
      <c r="D19" s="463"/>
      <c r="E19" s="463"/>
      <c r="F19" s="463"/>
      <c r="G19" s="384" t="str">
        <f>Instructions!$F$27</f>
        <v>Male</v>
      </c>
      <c r="H19" s="244">
        <f>IF(Instructions!$U$40=1,Instructions!$G$27,Instructions!$I$27)</f>
        <v>1.6</v>
      </c>
      <c r="I19" s="245" t="s">
        <v>127</v>
      </c>
      <c r="J19" s="93"/>
      <c r="K19" s="347">
        <f>Instructions!N27+((1-I11)*Instructions!N28)</f>
        <v>1</v>
      </c>
      <c r="L19" s="324">
        <f>H19*D8*K19</f>
        <v>0</v>
      </c>
      <c r="M19" s="348">
        <f>Instructions!O27+((1-I11)*Instructions!O28)</f>
        <v>0.1</v>
      </c>
      <c r="N19" s="321">
        <f>$H19*E8*M19</f>
        <v>0</v>
      </c>
      <c r="O19" s="349">
        <f>Instructions!P27+((1-I11)*Instructions!P28)</f>
        <v>0.1</v>
      </c>
      <c r="P19" s="324">
        <f>$H19*F8*O19</f>
        <v>0</v>
      </c>
      <c r="Q19" s="350">
        <f>Instructions!Q27+((1-I11)*Instructions!Q28)</f>
        <v>1</v>
      </c>
      <c r="R19" s="321">
        <f>$H19*G8*Q19</f>
        <v>267.2</v>
      </c>
      <c r="S19" s="349">
        <f>Instructions!R27+((1-I11)*Instructions!R28)</f>
        <v>5</v>
      </c>
      <c r="T19" s="324">
        <f>$H19*H8*S19</f>
        <v>0</v>
      </c>
      <c r="U19" s="254"/>
      <c r="V19" s="312">
        <f>$H19*I8*U19</f>
        <v>0</v>
      </c>
      <c r="W19" s="332"/>
      <c r="X19" s="333">
        <f>IF(I19="Yes",SUM(L19,R19,N19,P19,T19,V19),0)</f>
        <v>267.2</v>
      </c>
      <c r="Y19" s="56"/>
      <c r="Z19" s="46"/>
      <c r="AA19" s="46"/>
    </row>
    <row r="20" spans="1:27" ht="15" customHeight="1" x14ac:dyDescent="0.25">
      <c r="B20" s="246" t="s">
        <v>36</v>
      </c>
      <c r="C20" s="458" t="str">
        <f>Instructions!$C$28</f>
        <v xml:space="preserve">Toilet </v>
      </c>
      <c r="D20" s="459"/>
      <c r="E20" s="459"/>
      <c r="F20" s="459"/>
      <c r="G20" s="383" t="str">
        <f>Instructions!$F$28</f>
        <v>Female</v>
      </c>
      <c r="H20" s="248">
        <f>IF(Instructions!$U$40=1,Instructions!$G$28,Instructions!$I$28)</f>
        <v>1.6</v>
      </c>
      <c r="I20" s="249" t="s">
        <v>128</v>
      </c>
      <c r="J20" s="93"/>
      <c r="K20" s="351">
        <f>Instructions!$N$28</f>
        <v>3</v>
      </c>
      <c r="L20" s="325">
        <f>H20*D9*K20</f>
        <v>0</v>
      </c>
      <c r="M20" s="352">
        <f>Instructions!$O$28</f>
        <v>0.5</v>
      </c>
      <c r="N20" s="322">
        <f>$H20*E9*M20</f>
        <v>0</v>
      </c>
      <c r="O20" s="353">
        <f>Instructions!$P$28</f>
        <v>0.2</v>
      </c>
      <c r="P20" s="325">
        <f>$H20*F9*O20</f>
        <v>0</v>
      </c>
      <c r="Q20" s="352">
        <f>Instructions!$Q$28</f>
        <v>3</v>
      </c>
      <c r="R20" s="322">
        <f>$H20*G9*Q20</f>
        <v>0</v>
      </c>
      <c r="S20" s="353">
        <f>Instructions!$R$28</f>
        <v>5</v>
      </c>
      <c r="T20" s="325">
        <f>$H20*H9*S20</f>
        <v>0</v>
      </c>
      <c r="U20" s="255"/>
      <c r="V20" s="313">
        <f>$H20*I9*U20</f>
        <v>0</v>
      </c>
      <c r="W20" s="332"/>
      <c r="X20" s="334">
        <f>IF(I20="Yes",SUM(L20,R20,N20,P20,T20,V20),0)</f>
        <v>0</v>
      </c>
      <c r="Y20" s="56"/>
      <c r="Z20" s="46"/>
      <c r="AA20" s="46"/>
    </row>
    <row r="21" spans="1:27" ht="15" customHeight="1" x14ac:dyDescent="0.25">
      <c r="B21" s="250" t="s">
        <v>37</v>
      </c>
      <c r="C21" s="481" t="str">
        <f>Instructions!$C$29</f>
        <v>Urinal</v>
      </c>
      <c r="D21" s="482"/>
      <c r="E21" s="482"/>
      <c r="F21" s="482"/>
      <c r="G21" s="386" t="str">
        <f>Instructions!$F$29</f>
        <v>Male</v>
      </c>
      <c r="H21" s="252">
        <f>IF(Instructions!$U$40=1,Instructions!$G$29,Instructions!$I$29)</f>
        <v>1</v>
      </c>
      <c r="I21" s="253" t="s">
        <v>127</v>
      </c>
      <c r="J21" s="93"/>
      <c r="K21" s="354">
        <f>Instructions!N29*I11</f>
        <v>2</v>
      </c>
      <c r="L21" s="326">
        <f>H21*D8*K21</f>
        <v>0</v>
      </c>
      <c r="M21" s="355">
        <f>Instructions!O29*I11</f>
        <v>0.4</v>
      </c>
      <c r="N21" s="323">
        <f>$H21*E8*M21</f>
        <v>0</v>
      </c>
      <c r="O21" s="356">
        <f>Instructions!P29*I11</f>
        <v>0.1</v>
      </c>
      <c r="P21" s="326">
        <f>$H21*F8*O21</f>
        <v>0</v>
      </c>
      <c r="Q21" s="355">
        <f>Instructions!Q29*I11</f>
        <v>2</v>
      </c>
      <c r="R21" s="323">
        <f>$H21*G8*Q21</f>
        <v>334</v>
      </c>
      <c r="S21" s="356">
        <f>Instructions!$R$29*I11</f>
        <v>0</v>
      </c>
      <c r="T21" s="326">
        <f>$H21*H8*S21</f>
        <v>0</v>
      </c>
      <c r="U21" s="256"/>
      <c r="V21" s="314">
        <f>$H21*I8*U21</f>
        <v>0</v>
      </c>
      <c r="W21" s="335"/>
      <c r="X21" s="336">
        <f>IF(I21="Yes",SUM(L21,R21,N21,P21,T21,V21),0)</f>
        <v>334</v>
      </c>
      <c r="AA21" s="46"/>
    </row>
    <row r="22" spans="1:27" ht="24.75" customHeight="1" x14ac:dyDescent="0.25">
      <c r="B22" s="382" t="str">
        <f>IF(Instructions!$U$40=1,"Baseline case annual flush volume (gallons/year)","Baseline case annual flush volume (liters/year)")</f>
        <v>Baseline case annual flush volume (gallons/year)</v>
      </c>
      <c r="C22" s="94"/>
      <c r="D22" s="94"/>
      <c r="E22" s="94"/>
      <c r="F22" s="94"/>
      <c r="G22" s="94"/>
      <c r="H22" s="94"/>
      <c r="I22" s="339">
        <f>(SUM(X19:X21)*$I$13)</f>
        <v>219438</v>
      </c>
      <c r="J22" s="122"/>
      <c r="K22" s="94"/>
      <c r="L22" s="94"/>
      <c r="M22" s="94"/>
      <c r="N22" s="94"/>
      <c r="O22" s="94"/>
      <c r="P22" s="94"/>
      <c r="Q22" s="94"/>
      <c r="R22" s="94"/>
      <c r="S22" s="94"/>
      <c r="T22" s="95"/>
      <c r="U22" s="94"/>
      <c r="V22" s="94"/>
      <c r="W22" s="122"/>
      <c r="X22" s="103"/>
    </row>
    <row r="23" spans="1:27" ht="25.5" customHeight="1" x14ac:dyDescent="0.25">
      <c r="C23" s="85"/>
      <c r="D23" s="85"/>
      <c r="E23" s="85"/>
      <c r="F23" s="85"/>
      <c r="G23" s="85"/>
      <c r="H23" s="85"/>
      <c r="I23" s="85"/>
      <c r="J23" s="85"/>
      <c r="K23" s="85"/>
      <c r="L23" s="85"/>
      <c r="M23" s="85"/>
      <c r="N23" s="85"/>
      <c r="Q23" s="96"/>
      <c r="R23" s="96"/>
    </row>
    <row r="24" spans="1:27" ht="21" customHeight="1" x14ac:dyDescent="0.25">
      <c r="B24" s="121" t="s">
        <v>91</v>
      </c>
      <c r="C24" s="85"/>
      <c r="D24" s="85"/>
      <c r="E24" s="85"/>
      <c r="F24" s="85"/>
      <c r="G24" s="85"/>
      <c r="H24" s="85"/>
      <c r="I24" s="85"/>
      <c r="J24" s="85"/>
      <c r="K24" s="85"/>
      <c r="L24" s="85"/>
      <c r="M24" s="85"/>
      <c r="N24" s="85"/>
      <c r="Q24" s="96"/>
      <c r="R24" s="96"/>
    </row>
    <row r="25" spans="1:27" ht="51.75" customHeight="1" x14ac:dyDescent="0.25">
      <c r="B25" s="445" t="s">
        <v>89</v>
      </c>
      <c r="C25" s="446"/>
      <c r="D25" s="97" t="str">
        <f>IF(Instructions!$U$40=1,"Low Flush
(gpf)","Low Flush
(lpf)")</f>
        <v>Low Flush
(gpf)</v>
      </c>
      <c r="E25" s="97" t="str">
        <f>IF(Instructions!$U$40=1,"High Flush
(gpf)","High Flush
(lpf)")</f>
        <v>High Flush
(gpf)</v>
      </c>
      <c r="F25" s="97" t="str">
        <f>IF(Instructions!$U$40=1,"Average Flush Rate
(gpf)","Average Flush Rate
(lpf)")</f>
        <v>Average Flush Rate
(gpf)</v>
      </c>
      <c r="H25" s="85"/>
      <c r="I25" s="85"/>
      <c r="J25" s="85"/>
      <c r="K25" s="85"/>
      <c r="L25" s="85"/>
      <c r="M25" s="85"/>
      <c r="N25" s="85"/>
      <c r="Q25" s="96"/>
      <c r="R25" s="96"/>
    </row>
    <row r="26" spans="1:27" ht="21" customHeight="1" x14ac:dyDescent="0.25">
      <c r="B26" s="445"/>
      <c r="C26" s="446"/>
      <c r="D26" s="258"/>
      <c r="E26" s="258"/>
      <c r="F26" s="257">
        <f>((D26*2)+E26)/3</f>
        <v>0</v>
      </c>
    </row>
    <row r="27" spans="1:27" ht="24.75" customHeight="1" x14ac:dyDescent="0.25">
      <c r="C27" s="85"/>
      <c r="D27" s="85"/>
      <c r="E27" s="85"/>
      <c r="F27" s="85"/>
      <c r="G27" s="85"/>
      <c r="H27" s="85"/>
      <c r="I27" s="85"/>
      <c r="J27" s="85"/>
      <c r="K27" s="85"/>
      <c r="L27" s="85"/>
      <c r="M27" s="85"/>
      <c r="N27" s="85"/>
      <c r="Q27" s="96"/>
      <c r="R27" s="96"/>
    </row>
    <row r="28" spans="1:27" ht="24" customHeight="1" x14ac:dyDescent="0.2">
      <c r="B28" s="69" t="s">
        <v>20</v>
      </c>
      <c r="E28" s="54"/>
      <c r="F28" s="55"/>
      <c r="G28" s="55"/>
      <c r="H28" s="55"/>
      <c r="I28" s="55"/>
      <c r="J28" s="55"/>
      <c r="K28" s="55"/>
      <c r="L28" s="55"/>
      <c r="M28" s="55"/>
      <c r="N28" s="55"/>
      <c r="O28" s="55"/>
      <c r="P28" s="55"/>
      <c r="Q28" s="55"/>
      <c r="R28" s="55"/>
      <c r="S28" s="55"/>
      <c r="T28" s="55"/>
      <c r="U28" s="55"/>
    </row>
    <row r="29" spans="1:27" ht="81" customHeight="1" x14ac:dyDescent="0.25">
      <c r="B29" s="451" t="s">
        <v>49</v>
      </c>
      <c r="C29" s="451"/>
      <c r="D29" s="451"/>
      <c r="E29" s="451"/>
      <c r="F29" s="451"/>
      <c r="G29" s="451"/>
      <c r="H29" s="451"/>
      <c r="I29" s="451"/>
      <c r="J29" s="451"/>
      <c r="K29" s="451"/>
      <c r="L29" s="451"/>
      <c r="M29" s="451"/>
      <c r="N29" s="451"/>
      <c r="O29" s="451"/>
      <c r="P29" s="451"/>
      <c r="Q29" s="451"/>
      <c r="R29" s="451"/>
      <c r="S29" s="451"/>
      <c r="T29" s="451"/>
      <c r="U29" s="451"/>
      <c r="V29" s="451"/>
      <c r="W29" s="451"/>
      <c r="X29" s="451"/>
    </row>
    <row r="30" spans="1:27" ht="21.75" customHeight="1" x14ac:dyDescent="0.25">
      <c r="B30" s="454" t="s">
        <v>11</v>
      </c>
      <c r="C30" s="456" t="s">
        <v>16</v>
      </c>
      <c r="D30" s="456"/>
      <c r="E30" s="464" t="s">
        <v>12</v>
      </c>
      <c r="F30" s="470" t="s">
        <v>21</v>
      </c>
      <c r="G30" s="469"/>
      <c r="H30" s="487" t="str">
        <f>IF(Instructions!U40=1,"Flush Rate 
(gpf)","Flush Rate 
(lpf)")</f>
        <v>Flush Rate 
(gpf)</v>
      </c>
      <c r="I30" s="485" t="s">
        <v>93</v>
      </c>
      <c r="J30" s="129"/>
      <c r="K30" s="470" t="s">
        <v>79</v>
      </c>
      <c r="L30" s="469"/>
      <c r="M30" s="447" t="s">
        <v>70</v>
      </c>
      <c r="N30" s="448"/>
      <c r="O30" s="470" t="s">
        <v>19</v>
      </c>
      <c r="P30" s="469"/>
      <c r="Q30" s="447" t="s">
        <v>50</v>
      </c>
      <c r="R30" s="448"/>
      <c r="S30" s="470" t="s">
        <v>3</v>
      </c>
      <c r="T30" s="469"/>
      <c r="U30" s="447" t="str">
        <f>IF($I$6="Other (please specify)","Other",$I$6)</f>
        <v>Other (specify)</v>
      </c>
      <c r="V30" s="448"/>
      <c r="W30" s="123"/>
      <c r="X30" s="449" t="str">
        <f>IF(Instructions!$U$40=1,"Total Daily Water Use 
(gpf)","Total Daily Water Use 
(lpf)")</f>
        <v>Total Daily Water Use 
(gpf)</v>
      </c>
    </row>
    <row r="31" spans="1:27" s="90" customFormat="1" ht="55.9" customHeight="1" x14ac:dyDescent="0.25">
      <c r="B31" s="455"/>
      <c r="C31" s="457"/>
      <c r="D31" s="457"/>
      <c r="E31" s="465"/>
      <c r="F31" s="108" t="s">
        <v>82</v>
      </c>
      <c r="G31" s="387" t="s">
        <v>22</v>
      </c>
      <c r="H31" s="488"/>
      <c r="I31" s="486"/>
      <c r="J31" s="130"/>
      <c r="K31" s="108" t="s">
        <v>77</v>
      </c>
      <c r="L31" s="91" t="str">
        <f>IF(Instructions!$U$40=1,"Daily Water Use 
(gpf)","Daily Water Use 
(lpf)")</f>
        <v>Daily Water Use 
(gpf)</v>
      </c>
      <c r="M31" s="388" t="s">
        <v>77</v>
      </c>
      <c r="N31" s="89" t="str">
        <f>IF(Instructions!$U$40=1,"Daily Water Use 
(gpf)","Daily Water Use 
(lpf)")</f>
        <v>Daily Water Use 
(gpf)</v>
      </c>
      <c r="O31" s="108" t="s">
        <v>77</v>
      </c>
      <c r="P31" s="91" t="str">
        <f>IF(Instructions!$U$40=1,"Daily Water Use 
(gpf)","Daily Water Use 
(lpf)")</f>
        <v>Daily Water Use 
(gpf)</v>
      </c>
      <c r="Q31" s="388" t="s">
        <v>77</v>
      </c>
      <c r="R31" s="89" t="str">
        <f>IF(Instructions!$U$40=1,"Daily Water Use 
(gpf)","Daily Water Use 
(lpf)")</f>
        <v>Daily Water Use 
(gpf)</v>
      </c>
      <c r="S31" s="108" t="s">
        <v>77</v>
      </c>
      <c r="T31" s="91" t="str">
        <f>IF(Instructions!$U$40=1,"Daily Water Use 
(gpf)","Daily Water Use 
(lpf)")</f>
        <v>Daily Water Use 
(gpf)</v>
      </c>
      <c r="U31" s="388" t="s">
        <v>77</v>
      </c>
      <c r="V31" s="89" t="str">
        <f>IF(Instructions!$U$40=1,"Daily Water Use 
(gpf)","Daily Water Use 
(lpf)")</f>
        <v>Daily Water Use 
(gpf)</v>
      </c>
      <c r="W31" s="71"/>
      <c r="X31" s="450"/>
    </row>
    <row r="32" spans="1:27" ht="15" customHeight="1" x14ac:dyDescent="0.25">
      <c r="A32" s="338">
        <f>IF(B32&gt;=0,0,0)</f>
        <v>0</v>
      </c>
      <c r="B32" s="259" t="s">
        <v>35</v>
      </c>
      <c r="C32" s="483" t="s">
        <v>29</v>
      </c>
      <c r="D32" s="483"/>
      <c r="E32" s="260" t="str">
        <f>IF(ISBLANK(B32),"",VLOOKUP(B32,$B$17:$V$21,6,0))</f>
        <v>Male</v>
      </c>
      <c r="F32" s="261"/>
      <c r="G32" s="261"/>
      <c r="H32" s="262">
        <v>1.28</v>
      </c>
      <c r="I32" s="263">
        <v>100</v>
      </c>
      <c r="J32" s="98"/>
      <c r="K32" s="274">
        <f>IF(ISBLANK(B32),0,VLOOKUP($B32,$B$18:$V$21,10,0))</f>
        <v>1</v>
      </c>
      <c r="L32" s="312">
        <f>IF(E32="Male",H32*K32*D$8*(I32/100),H32*K32*D$9*(I32/100))</f>
        <v>0</v>
      </c>
      <c r="M32" s="275">
        <f>IF(ISBLANK(B32),0,VLOOKUP($B32,$B$18:$V$21,12,0))</f>
        <v>0.1</v>
      </c>
      <c r="N32" s="315">
        <f>IF(E32="Male",$H32*M32*E$8*($I32/100),$H32*M32*E$9*($I32/100))</f>
        <v>0</v>
      </c>
      <c r="O32" s="276">
        <f>IF(ISBLANK(B32),0,VLOOKUP($B32,$B$18:$V$21,14,0))</f>
        <v>0.1</v>
      </c>
      <c r="P32" s="312">
        <f>IF(E32="Male",$H32*O32*F$8*($I32/100),$H32*O32*F$9*($I32/100))</f>
        <v>0</v>
      </c>
      <c r="Q32" s="275">
        <f>IF(ISBLANK(B32),0,VLOOKUP($B32,$B$18:$V$21,16,0))</f>
        <v>1</v>
      </c>
      <c r="R32" s="315">
        <f>IF(E32="Male",$H32*Q32*G$8*($I32/100),$H32*Q32*G$9*($I32/100))</f>
        <v>213.76</v>
      </c>
      <c r="S32" s="276">
        <f>IF(ISBLANK(B32),0,VLOOKUP($B32,$B$18:$V$21,18,0))</f>
        <v>5</v>
      </c>
      <c r="T32" s="312">
        <f>IF(E32="Male",$H32*S32*H$8*($I32/100),$H32*S32*H$9*($I32/100))</f>
        <v>0</v>
      </c>
      <c r="U32" s="275">
        <f>IF(ISBLANK(B32),0,VLOOKUP($B32,$B$18:$V$21,20,0))</f>
        <v>0</v>
      </c>
      <c r="V32" s="312">
        <f>IF(E32="Male",$H32*U32*I$8*($I32/100),$H32*U32*I$9*($I32/100))</f>
        <v>0</v>
      </c>
      <c r="W32" s="330"/>
      <c r="X32" s="318">
        <f>SUM(L32,R32,N32,P32,T32,V32)</f>
        <v>213.76</v>
      </c>
    </row>
    <row r="33" spans="1:26" ht="15" customHeight="1" x14ac:dyDescent="0.25">
      <c r="A33" s="338">
        <f t="shared" ref="A33:A34" si="2">IF(B33&gt;=0,0,0)</f>
        <v>0</v>
      </c>
      <c r="B33" s="264" t="s">
        <v>37</v>
      </c>
      <c r="C33" s="479" t="s">
        <v>32</v>
      </c>
      <c r="D33" s="479"/>
      <c r="E33" s="265" t="str">
        <f>IF(ISBLANK(B33),"",VLOOKUP(B33,$B$17:$V$21,6,0))</f>
        <v>Male</v>
      </c>
      <c r="F33" s="266"/>
      <c r="G33" s="266"/>
      <c r="H33" s="267">
        <v>0.125</v>
      </c>
      <c r="I33" s="268">
        <v>100</v>
      </c>
      <c r="J33" s="98"/>
      <c r="K33" s="274">
        <f t="shared" ref="K33:K36" si="3">IF(ISBLANK(B33),0,VLOOKUP($B33,$B$18:$V$21,10,0))</f>
        <v>2</v>
      </c>
      <c r="L33" s="313">
        <f>IF(E33="Male",H33*K33*D$8*(I33/100),H33*K33*D$9*(I33/100))</f>
        <v>0</v>
      </c>
      <c r="M33" s="277">
        <f t="shared" ref="M33:M36" si="4">IF(ISBLANK(B33),0,VLOOKUP($B33,$B$18:$V$21,12,0))</f>
        <v>0.4</v>
      </c>
      <c r="N33" s="316">
        <f>IF(E33="Male",$H33*M33*E$8*($I33/100),$H33*M33*E$9*($I33/100))</f>
        <v>0</v>
      </c>
      <c r="O33" s="278">
        <f t="shared" ref="O33:O36" si="5">IF(ISBLANK(B33),0,VLOOKUP($B33,$B$18:$V$21,14,0))</f>
        <v>0.1</v>
      </c>
      <c r="P33" s="313">
        <f>IF(E33="Male",$H33*O33*F$8*($I33/100),$H33*O33*F$9*($I33/100))</f>
        <v>0</v>
      </c>
      <c r="Q33" s="277">
        <f t="shared" ref="Q33:Q36" si="6">IF(ISBLANK(B33),0,VLOOKUP($B33,$B$18:$V$21,16,0))</f>
        <v>2</v>
      </c>
      <c r="R33" s="316">
        <f>IF(E33="Male",$H33*Q33*G$8*($I33/100),$H33*Q33*G$9*($I33/100))</f>
        <v>41.75</v>
      </c>
      <c r="S33" s="278">
        <f t="shared" ref="S33:S36" si="7">IF(ISBLANK(B33),0,VLOOKUP($B33,$B$18:$V$21,18,0))</f>
        <v>0</v>
      </c>
      <c r="T33" s="313">
        <f>IF(E33="Male",$H33*S33*H$8*($I33/100),$H33*S33*H$9*($I33/100))</f>
        <v>0</v>
      </c>
      <c r="U33" s="277">
        <f t="shared" ref="U33:U36" si="8">IF(ISBLANK(B33),0,VLOOKUP($B33,$B$18:$V$21,20,0))</f>
        <v>0</v>
      </c>
      <c r="V33" s="313">
        <f>IF(E33="Male",$H33*U33*I$8*($I33/100),$H33*U33*I$9*($I33/100))</f>
        <v>0</v>
      </c>
      <c r="W33" s="330"/>
      <c r="X33" s="319">
        <f>SUM(L33,R33,N33,P33,T33,V33)</f>
        <v>41.75</v>
      </c>
    </row>
    <row r="34" spans="1:26" ht="15" customHeight="1" x14ac:dyDescent="0.25">
      <c r="A34" s="338">
        <f t="shared" si="2"/>
        <v>0</v>
      </c>
      <c r="B34" s="264"/>
      <c r="C34" s="479"/>
      <c r="D34" s="479"/>
      <c r="E34" s="265" t="str">
        <f>IF(ISBLANK(B34),"",VLOOKUP(B34,$B$17:$V$21,6,0))</f>
        <v/>
      </c>
      <c r="F34" s="266"/>
      <c r="G34" s="266"/>
      <c r="H34" s="267"/>
      <c r="I34" s="268"/>
      <c r="J34" s="98"/>
      <c r="K34" s="274">
        <f t="shared" si="3"/>
        <v>0</v>
      </c>
      <c r="L34" s="313">
        <f>IF(E34="Male",H34*K34*D$8*(I34/100),H34*K34*D$9*(I34/100))</f>
        <v>0</v>
      </c>
      <c r="M34" s="277">
        <f t="shared" si="4"/>
        <v>0</v>
      </c>
      <c r="N34" s="316">
        <f>IF(E34="Male",$H34*M34*E$8*($I34/100),$H34*M34*E$9*($I34/100))</f>
        <v>0</v>
      </c>
      <c r="O34" s="278">
        <f t="shared" si="5"/>
        <v>0</v>
      </c>
      <c r="P34" s="313">
        <f>IF(E34="Male",$H34*O34*F$8*($I34/100),$H34*O34*F$9*($I34/100))</f>
        <v>0</v>
      </c>
      <c r="Q34" s="277">
        <f t="shared" si="6"/>
        <v>0</v>
      </c>
      <c r="R34" s="316">
        <f>IF(E34="Male",$H34*Q34*G$8*($I34/100),$H34*Q34*G$9*($I34/100))</f>
        <v>0</v>
      </c>
      <c r="S34" s="278">
        <f t="shared" si="7"/>
        <v>0</v>
      </c>
      <c r="T34" s="313">
        <f>IF(E34="Male",$H34*S34*H$8*($I34/100),$H34*S34*H$9*($I34/100))</f>
        <v>0</v>
      </c>
      <c r="U34" s="277">
        <f t="shared" si="8"/>
        <v>0</v>
      </c>
      <c r="V34" s="313">
        <f>IF(E34="Male",$H34*U34*I$8*($I34/100),$H34*U34*I$9*($I34/100))</f>
        <v>0</v>
      </c>
      <c r="W34" s="330"/>
      <c r="X34" s="319">
        <f>SUM(L34,R34,N34,P34,T34,V34)</f>
        <v>0</v>
      </c>
    </row>
    <row r="35" spans="1:26" ht="15" customHeight="1" x14ac:dyDescent="0.25">
      <c r="A35" s="338"/>
      <c r="B35" s="264"/>
      <c r="C35" s="479"/>
      <c r="D35" s="479"/>
      <c r="E35" s="265" t="str">
        <f>IF(ISBLANK(B35),"",VLOOKUP(B35,$B$17:$V$21,6,0))</f>
        <v/>
      </c>
      <c r="F35" s="266"/>
      <c r="G35" s="266"/>
      <c r="H35" s="267"/>
      <c r="I35" s="268"/>
      <c r="J35" s="98"/>
      <c r="K35" s="274">
        <f t="shared" si="3"/>
        <v>0</v>
      </c>
      <c r="L35" s="313">
        <f>IF(E35="Male",H35*K35*D$8*(I35/100),H35*K35*D$9*(I35/100))</f>
        <v>0</v>
      </c>
      <c r="M35" s="277">
        <f t="shared" si="4"/>
        <v>0</v>
      </c>
      <c r="N35" s="316">
        <f>IF(E35="Male",$H35*M35*E$8*($I35/100),$H35*M35*E$9*($I35/100))</f>
        <v>0</v>
      </c>
      <c r="O35" s="278">
        <f t="shared" si="5"/>
        <v>0</v>
      </c>
      <c r="P35" s="313">
        <f>IF(E35="Male",$H35*O35*F$8*($I35/100),$H35*O35*F$9*($I35/100))</f>
        <v>0</v>
      </c>
      <c r="Q35" s="277">
        <f t="shared" si="6"/>
        <v>0</v>
      </c>
      <c r="R35" s="316">
        <f>IF(E35="Male",$H35*Q35*G$8*($I35/100),$H35*Q35*G$9*($I35/100))</f>
        <v>0</v>
      </c>
      <c r="S35" s="278">
        <f t="shared" si="7"/>
        <v>0</v>
      </c>
      <c r="T35" s="313">
        <f>IF(E35="Male",$H35*S35*H$8*($I35/100),$H35*S35*H$9*($I35/100))</f>
        <v>0</v>
      </c>
      <c r="U35" s="277">
        <f t="shared" si="8"/>
        <v>0</v>
      </c>
      <c r="V35" s="313">
        <f>IF(E35="Male",$H35*U35*I$8*($I35/100),$H35*U35*I$9*($I35/100))</f>
        <v>0</v>
      </c>
      <c r="W35" s="330"/>
      <c r="X35" s="319">
        <f>SUM(L35,R35,N35,P35,T35,V35)</f>
        <v>0</v>
      </c>
    </row>
    <row r="36" spans="1:26" ht="15" customHeight="1" x14ac:dyDescent="0.25">
      <c r="A36" s="338"/>
      <c r="B36" s="269"/>
      <c r="C36" s="480"/>
      <c r="D36" s="480"/>
      <c r="E36" s="270" t="str">
        <f>IF(ISBLANK(B36),"",VLOOKUP(B36,$B$17:$V$21,6,0))</f>
        <v/>
      </c>
      <c r="F36" s="271"/>
      <c r="G36" s="271"/>
      <c r="H36" s="272"/>
      <c r="I36" s="273"/>
      <c r="J36" s="98"/>
      <c r="K36" s="279">
        <f t="shared" si="3"/>
        <v>0</v>
      </c>
      <c r="L36" s="314">
        <f>IF(E36="Male",H36*K36*D$8*(I36/100),H36*K36*D$9*(I36/100))</f>
        <v>0</v>
      </c>
      <c r="M36" s="280">
        <f t="shared" si="4"/>
        <v>0</v>
      </c>
      <c r="N36" s="317">
        <f>IF(E36="Male",$H36*M36*E$8*($I36/100),$H36*M36*E$9*($I36/100))</f>
        <v>0</v>
      </c>
      <c r="O36" s="281">
        <f t="shared" si="5"/>
        <v>0</v>
      </c>
      <c r="P36" s="314">
        <f>IF(E36="Male",$H36*O36*F$8*($I36/100),$H36*O36*F$9*($I36/100))</f>
        <v>0</v>
      </c>
      <c r="Q36" s="280">
        <f t="shared" si="6"/>
        <v>0</v>
      </c>
      <c r="R36" s="317">
        <f>IF(E36="Male",$H36*Q36*G$8*($I36/100),$H36*Q36*G$9*($I36/100))</f>
        <v>0</v>
      </c>
      <c r="S36" s="281">
        <f t="shared" si="7"/>
        <v>0</v>
      </c>
      <c r="T36" s="314">
        <f>IF(E36="Male",$H36*S36*H$8*($I36/100),$H36*S36*H$9*($I36/100))</f>
        <v>0</v>
      </c>
      <c r="U36" s="280">
        <f t="shared" si="8"/>
        <v>0</v>
      </c>
      <c r="V36" s="314">
        <f>IF(E36="Male",$H36*U36*I$8*($I36/100),$H36*U36*I$9*($I36/100))</f>
        <v>0</v>
      </c>
      <c r="W36" s="331"/>
      <c r="X36" s="320">
        <f>SUM(L36,R36,N36,P36,T36,V36)</f>
        <v>0</v>
      </c>
    </row>
    <row r="37" spans="1:26" ht="23.25" customHeight="1" x14ac:dyDescent="0.25">
      <c r="A37" s="338" t="s">
        <v>59</v>
      </c>
      <c r="B37" s="382" t="str">
        <f>IF(Instructions!$U$40=1,"Design case annual flush volume (gallons/year)","Design case annual flush volume (liters/year)")</f>
        <v>Design case annual flush volume (gallons/year)</v>
      </c>
      <c r="C37" s="94"/>
      <c r="D37" s="94"/>
      <c r="E37" s="94"/>
      <c r="F37" s="94"/>
      <c r="G37" s="94"/>
      <c r="H37" s="94"/>
      <c r="I37" s="339">
        <f>(SUM(X32:X36)*$I$13)</f>
        <v>93261.15</v>
      </c>
      <c r="J37" s="122"/>
      <c r="K37" s="94"/>
      <c r="L37" s="94"/>
      <c r="M37" s="94"/>
      <c r="N37" s="94"/>
      <c r="O37" s="94"/>
      <c r="P37" s="94"/>
      <c r="Q37" s="94"/>
      <c r="R37" s="94"/>
      <c r="S37" s="94"/>
      <c r="T37" s="95"/>
      <c r="U37" s="94"/>
      <c r="V37" s="94"/>
      <c r="W37" s="122"/>
      <c r="X37" s="103"/>
    </row>
    <row r="38" spans="1:26" ht="21" customHeight="1" x14ac:dyDescent="0.25">
      <c r="B38" s="104"/>
      <c r="H38" s="85"/>
      <c r="I38" s="99"/>
      <c r="J38" s="99"/>
    </row>
    <row r="39" spans="1:26" ht="21" customHeight="1" x14ac:dyDescent="0.25">
      <c r="B39" s="102"/>
      <c r="H39" s="85"/>
      <c r="I39" s="99"/>
      <c r="J39" s="99"/>
    </row>
    <row r="40" spans="1:26" ht="21" customHeight="1" x14ac:dyDescent="0.25">
      <c r="B40" s="102"/>
      <c r="H40" s="85"/>
      <c r="I40" s="99"/>
      <c r="J40" s="99"/>
    </row>
    <row r="41" spans="1:26" ht="24.75" customHeight="1" x14ac:dyDescent="0.2">
      <c r="B41" s="69" t="s">
        <v>27</v>
      </c>
    </row>
    <row r="42" spans="1:26" s="85" customFormat="1" ht="48" customHeight="1" x14ac:dyDescent="0.25">
      <c r="B42" s="451" t="s">
        <v>80</v>
      </c>
      <c r="C42" s="451"/>
      <c r="D42" s="451"/>
      <c r="E42" s="451"/>
      <c r="F42" s="451"/>
      <c r="G42" s="451"/>
      <c r="H42" s="451"/>
      <c r="I42" s="451"/>
      <c r="J42" s="451"/>
      <c r="K42" s="451"/>
      <c r="L42" s="451"/>
      <c r="M42" s="451"/>
      <c r="N42" s="451"/>
      <c r="O42" s="451"/>
      <c r="P42" s="451"/>
      <c r="Q42" s="451"/>
      <c r="R42" s="451"/>
      <c r="S42" s="451"/>
      <c r="T42" s="451"/>
      <c r="U42" s="451"/>
      <c r="V42" s="451"/>
      <c r="W42" s="451"/>
      <c r="X42" s="451"/>
    </row>
    <row r="43" spans="1:26" ht="21.75" customHeight="1" x14ac:dyDescent="0.25">
      <c r="B43" s="454" t="s">
        <v>11</v>
      </c>
      <c r="C43" s="456" t="s">
        <v>26</v>
      </c>
      <c r="D43" s="456"/>
      <c r="E43" s="456"/>
      <c r="F43" s="464" t="str">
        <f>IF(Instructions!U40=1,"Default Flow Rate 
(gpm)","Default Flow Rate 
(lpm)")</f>
        <v>Default Flow Rate 
(gpm)</v>
      </c>
      <c r="G43" s="467" t="s">
        <v>76</v>
      </c>
      <c r="H43" s="490"/>
      <c r="I43" s="477" t="str">
        <f>I17</f>
        <v>Included 
in Project</v>
      </c>
      <c r="J43" s="109"/>
      <c r="K43" s="447" t="s">
        <v>79</v>
      </c>
      <c r="L43" s="469"/>
      <c r="M43" s="447" t="s">
        <v>70</v>
      </c>
      <c r="N43" s="448"/>
      <c r="O43" s="470" t="s">
        <v>19</v>
      </c>
      <c r="P43" s="469"/>
      <c r="Q43" s="447" t="s">
        <v>50</v>
      </c>
      <c r="R43" s="448"/>
      <c r="S43" s="470" t="s">
        <v>3</v>
      </c>
      <c r="T43" s="469"/>
      <c r="U43" s="447" t="str">
        <f>IF($I$6="Other (please specify)","Other",$I$6)</f>
        <v>Other (specify)</v>
      </c>
      <c r="V43" s="448"/>
      <c r="W43" s="127"/>
      <c r="X43" s="449" t="str">
        <f>IF(Instructions!$U$40=1,"Total Daily Water Use 
(gpf)","Total Daily Water Use 
(lpm)")</f>
        <v>Total Daily Water Use 
(gpf)</v>
      </c>
    </row>
    <row r="44" spans="1:26" ht="49.9" customHeight="1" x14ac:dyDescent="0.25">
      <c r="B44" s="455"/>
      <c r="C44" s="457"/>
      <c r="D44" s="457"/>
      <c r="E44" s="457"/>
      <c r="F44" s="465"/>
      <c r="G44" s="108" t="s">
        <v>86</v>
      </c>
      <c r="H44" s="387" t="s">
        <v>84</v>
      </c>
      <c r="I44" s="478"/>
      <c r="J44" s="128"/>
      <c r="K44" s="388" t="s">
        <v>77</v>
      </c>
      <c r="L44" s="91" t="str">
        <f>IF(Instructions!$U$40=1,"Daily Water Use 
(gpf)","Daily Water Use 
(lpm)")</f>
        <v>Daily Water Use 
(gpf)</v>
      </c>
      <c r="M44" s="388" t="s">
        <v>77</v>
      </c>
      <c r="N44" s="91" t="str">
        <f>IF(Instructions!$U$40=1,"Daily Water Use 
(gpf)","Daily Water Use 
(lpm)")</f>
        <v>Daily Water Use 
(gpf)</v>
      </c>
      <c r="O44" s="108" t="s">
        <v>77</v>
      </c>
      <c r="P44" s="91" t="str">
        <f>IF(Instructions!$U$40=1,"Daily Water Use 
(gpf)","Daily Water Use 
(lpm)")</f>
        <v>Daily Water Use 
(gpf)</v>
      </c>
      <c r="Q44" s="388" t="s">
        <v>77</v>
      </c>
      <c r="R44" s="91" t="str">
        <f>IF(Instructions!$U$40=1,"Daily Water Use 
(gpf)","Daily Water Use 
(lpm)")</f>
        <v>Daily Water Use 
(gpf)</v>
      </c>
      <c r="S44" s="108" t="s">
        <v>77</v>
      </c>
      <c r="T44" s="91" t="str">
        <f>IF(Instructions!$U$40=1,"Daily Water Use 
(gpf)","Daily Water Use 
(lpm)")</f>
        <v>Daily Water Use 
(gpf)</v>
      </c>
      <c r="U44" s="388" t="s">
        <v>77</v>
      </c>
      <c r="V44" s="91" t="str">
        <f>IF(Instructions!$U$40=1,"Daily Water Use 
(gpf)","Daily Water Use 
(lpm)")</f>
        <v>Daily Water Use 
(gpf)</v>
      </c>
      <c r="W44" s="110"/>
      <c r="X44" s="450"/>
      <c r="Y44" s="53"/>
      <c r="Z44" s="53"/>
    </row>
    <row r="45" spans="1:26" ht="15" customHeight="1" x14ac:dyDescent="0.25">
      <c r="B45" s="283" t="s">
        <v>38</v>
      </c>
      <c r="C45" s="489" t="str">
        <f>Instructions!$C$30</f>
        <v>Public lavatory (restroom) faucet</v>
      </c>
      <c r="D45" s="489"/>
      <c r="E45" s="489"/>
      <c r="F45" s="284">
        <f>IF(Instructions!$U$40=1,Instructions!$G$30,Instructions!$I$30)</f>
        <v>0.5</v>
      </c>
      <c r="G45" s="284">
        <f>Instructions!$K$30</f>
        <v>30</v>
      </c>
      <c r="H45" s="284">
        <f>Instructions!$L$30</f>
        <v>0</v>
      </c>
      <c r="I45" s="285" t="s">
        <v>127</v>
      </c>
      <c r="J45" s="111"/>
      <c r="K45" s="357">
        <f>Instructions!$N$30</f>
        <v>3</v>
      </c>
      <c r="L45" s="321">
        <f>$F45*($G45/60)*$K45*D$7</f>
        <v>0</v>
      </c>
      <c r="M45" s="349">
        <f>Instructions!$O$30</f>
        <v>0.5</v>
      </c>
      <c r="N45" s="324">
        <f>$F45*($G45/60)*M45*$E$7</f>
        <v>0</v>
      </c>
      <c r="O45" s="357">
        <f>Instructions!$P$30</f>
        <v>0.2</v>
      </c>
      <c r="P45" s="321">
        <f>$F45*($G45/60)*O45*$F$7</f>
        <v>0</v>
      </c>
      <c r="Q45" s="349">
        <f>Instructions!$Q$30</f>
        <v>3</v>
      </c>
      <c r="R45" s="324">
        <f>$F45*($G45/60)*$Q45*$G$7</f>
        <v>125.25</v>
      </c>
      <c r="S45" s="357">
        <f>Instructions!$R$30</f>
        <v>0</v>
      </c>
      <c r="T45" s="312">
        <f>F45*($H45/60)*S45*$H$7</f>
        <v>0</v>
      </c>
      <c r="U45" s="292"/>
      <c r="V45" s="312">
        <f>$F45*($G45/60)*U45*$I$7</f>
        <v>0</v>
      </c>
      <c r="W45" s="293"/>
      <c r="X45" s="327">
        <f>IF(I45="Yes",SUM(L45,R45,N45,P45,T45,V45),0)</f>
        <v>125.25</v>
      </c>
      <c r="Y45" s="56"/>
      <c r="Z45" s="46"/>
    </row>
    <row r="46" spans="1:26" ht="15" customHeight="1" x14ac:dyDescent="0.25">
      <c r="B46" s="286" t="s">
        <v>39</v>
      </c>
      <c r="C46" s="484" t="str">
        <f>Instructions!$C$31</f>
        <v>Private lavatory faucet</v>
      </c>
      <c r="D46" s="484"/>
      <c r="E46" s="484"/>
      <c r="F46" s="287">
        <f>IF(Instructions!$U$40=1,Instructions!$G$31,Instructions!$I$31)</f>
        <v>2.2000000000000002</v>
      </c>
      <c r="G46" s="287">
        <f>Instructions!$K$31</f>
        <v>30</v>
      </c>
      <c r="H46" s="287">
        <f>Instructions!$L$31</f>
        <v>60</v>
      </c>
      <c r="I46" s="288" t="s">
        <v>127</v>
      </c>
      <c r="J46" s="111"/>
      <c r="K46" s="352">
        <f>Instructions!$N$31</f>
        <v>0</v>
      </c>
      <c r="L46" s="322">
        <f>$F46*($G46/60)*$K46*D$7</f>
        <v>0</v>
      </c>
      <c r="M46" s="353">
        <f>Instructions!$O$31</f>
        <v>0</v>
      </c>
      <c r="N46" s="325">
        <f>$F46*($G46/60)*M46*$E$7</f>
        <v>0</v>
      </c>
      <c r="O46" s="352">
        <f>Instructions!$P$31</f>
        <v>0</v>
      </c>
      <c r="P46" s="322">
        <f>$F46*($G46/60)*O46*$F$7</f>
        <v>0</v>
      </c>
      <c r="Q46" s="353">
        <f>Instructions!$Q$31</f>
        <v>1</v>
      </c>
      <c r="R46" s="325">
        <f>$F46*($G46/60)*$Q46*$G$7</f>
        <v>183.7</v>
      </c>
      <c r="S46" s="352">
        <f>Instructions!$R$31</f>
        <v>5</v>
      </c>
      <c r="T46" s="313">
        <f>F46*($H46/60)*S46*$H$7</f>
        <v>0</v>
      </c>
      <c r="U46" s="294"/>
      <c r="V46" s="313">
        <f>$F46*($G46/60)*U46*$I$7</f>
        <v>0</v>
      </c>
      <c r="W46" s="293"/>
      <c r="X46" s="328">
        <f>IF(I46="Yes",SUM(L46,R46,N46,P46,T46,V46),0)</f>
        <v>183.7</v>
      </c>
      <c r="Y46" s="56"/>
      <c r="Z46" s="46"/>
    </row>
    <row r="47" spans="1:26" ht="15" customHeight="1" x14ac:dyDescent="0.25">
      <c r="B47" s="286" t="s">
        <v>40</v>
      </c>
      <c r="C47" s="484" t="str">
        <f>Instructions!$C$32</f>
        <v>Kitchen faucet</v>
      </c>
      <c r="D47" s="484"/>
      <c r="E47" s="484"/>
      <c r="F47" s="287">
        <f>IF(Instructions!$U$40=1,Instructions!$G$32,Instructions!$I$32)</f>
        <v>2.2000000000000002</v>
      </c>
      <c r="G47" s="287">
        <f>Instructions!$K$32</f>
        <v>15</v>
      </c>
      <c r="H47" s="287">
        <f>Instructions!$L$32</f>
        <v>60</v>
      </c>
      <c r="I47" s="288" t="s">
        <v>127</v>
      </c>
      <c r="J47" s="111"/>
      <c r="K47" s="352">
        <f>Instructions!$N$32</f>
        <v>1</v>
      </c>
      <c r="L47" s="322">
        <f>$F47*($G47/60)*$K47*D$7</f>
        <v>0</v>
      </c>
      <c r="M47" s="353">
        <f>Instructions!$O$32</f>
        <v>0</v>
      </c>
      <c r="N47" s="325">
        <f>$F47*($G47/60)*M47*$E$7</f>
        <v>0</v>
      </c>
      <c r="O47" s="352">
        <f>Instructions!$P$32</f>
        <v>0</v>
      </c>
      <c r="P47" s="322">
        <f>$F47*($G47/60)*O47*$F$7</f>
        <v>0</v>
      </c>
      <c r="Q47" s="353">
        <f>Instructions!$Q$32</f>
        <v>3</v>
      </c>
      <c r="R47" s="325">
        <f>$F47*($G47/60)*$Q47*$G$7</f>
        <v>275.55</v>
      </c>
      <c r="S47" s="352">
        <f>Instructions!$R$32</f>
        <v>4</v>
      </c>
      <c r="T47" s="313">
        <f>F47*($H47/60)*S47*$H$7</f>
        <v>0</v>
      </c>
      <c r="U47" s="294"/>
      <c r="V47" s="313">
        <f>$F47*($G47/60)*U47*$I$7</f>
        <v>0</v>
      </c>
      <c r="W47" s="293"/>
      <c r="X47" s="328">
        <f>IF(I47="Yes",SUM(L47,R47,N47,P47,T47,V47),0)</f>
        <v>275.55</v>
      </c>
      <c r="Y47" s="56"/>
      <c r="Z47" s="46"/>
    </row>
    <row r="48" spans="1:26" ht="15" customHeight="1" x14ac:dyDescent="0.25">
      <c r="B48" s="289" t="s">
        <v>41</v>
      </c>
      <c r="C48" s="476" t="str">
        <f>Instructions!$C$33</f>
        <v>Showerhead</v>
      </c>
      <c r="D48" s="476"/>
      <c r="E48" s="476"/>
      <c r="F48" s="290">
        <f>IF(Instructions!$U$40=1,Instructions!$G$33,Instructions!$I$33)</f>
        <v>2.5</v>
      </c>
      <c r="G48" s="290">
        <f>Instructions!$K$33</f>
        <v>300</v>
      </c>
      <c r="H48" s="290">
        <f>Instructions!$L$33</f>
        <v>480</v>
      </c>
      <c r="I48" s="291" t="s">
        <v>127</v>
      </c>
      <c r="J48" s="111"/>
      <c r="K48" s="355">
        <f>Instructions!$N$33</f>
        <v>0.1</v>
      </c>
      <c r="L48" s="323">
        <f>$F48*($G48/60)*$K48*D$7</f>
        <v>0</v>
      </c>
      <c r="M48" s="356">
        <f>Instructions!$O$33</f>
        <v>0</v>
      </c>
      <c r="N48" s="326">
        <f>$F48*($G48/60)*M48*$E$7</f>
        <v>0</v>
      </c>
      <c r="O48" s="355">
        <f>Instructions!$P$33</f>
        <v>0</v>
      </c>
      <c r="P48" s="323">
        <f>$F48*($G48/60)*O48*$F$7</f>
        <v>0</v>
      </c>
      <c r="Q48" s="356">
        <f>Instructions!$Q$33</f>
        <v>1</v>
      </c>
      <c r="R48" s="326">
        <f>$F48*($G48/60)*$Q48*$G$7</f>
        <v>2087.5</v>
      </c>
      <c r="S48" s="355">
        <f>Instructions!$R$33</f>
        <v>1</v>
      </c>
      <c r="T48" s="314">
        <f>F48*($H48/60)*S48*$H$7</f>
        <v>0</v>
      </c>
      <c r="U48" s="295"/>
      <c r="V48" s="314">
        <f>$F48*($G48/60)*U48*$I$7</f>
        <v>0</v>
      </c>
      <c r="W48" s="282"/>
      <c r="X48" s="329">
        <f>IF(I48="Yes",SUM(L48,R48,N48,P48,T48,V48),0)</f>
        <v>2087.5</v>
      </c>
      <c r="Y48" s="56"/>
      <c r="Z48" s="46"/>
    </row>
    <row r="49" spans="1:24" s="56" customFormat="1" ht="24.75" customHeight="1" x14ac:dyDescent="0.25">
      <c r="B49" s="382" t="str">
        <f>IF(Instructions!$U$40=1,"Baseline case annual flow volume (gallons/year)","Baseline case annual flow volume (liters/year)")</f>
        <v>Baseline case annual flow volume (gallons/year)</v>
      </c>
      <c r="C49" s="94"/>
      <c r="D49" s="94"/>
      <c r="E49" s="94"/>
      <c r="F49" s="94"/>
      <c r="G49" s="94"/>
      <c r="H49" s="94"/>
      <c r="I49" s="339">
        <f>(SUM(X45:X48)*$I$13)</f>
        <v>975280</v>
      </c>
      <c r="J49" s="122"/>
      <c r="K49" s="94"/>
      <c r="L49" s="94"/>
      <c r="M49" s="94"/>
      <c r="N49" s="94"/>
      <c r="O49" s="94"/>
      <c r="P49" s="94"/>
      <c r="Q49" s="94"/>
      <c r="R49" s="94"/>
      <c r="S49" s="112"/>
      <c r="T49" s="95"/>
      <c r="U49" s="94"/>
      <c r="V49" s="94"/>
      <c r="W49" s="122"/>
      <c r="X49" s="103"/>
    </row>
    <row r="50" spans="1:24" ht="25.5" customHeight="1" x14ac:dyDescent="0.25">
      <c r="C50" s="85"/>
      <c r="D50" s="85"/>
      <c r="E50" s="85"/>
      <c r="F50" s="85"/>
      <c r="G50" s="85"/>
      <c r="H50" s="85"/>
      <c r="I50" s="85"/>
      <c r="J50" s="85"/>
      <c r="K50" s="85"/>
      <c r="L50" s="85"/>
      <c r="M50" s="85"/>
      <c r="N50" s="85"/>
      <c r="Q50" s="96"/>
      <c r="R50" s="96"/>
    </row>
    <row r="51" spans="1:24" ht="21" customHeight="1" x14ac:dyDescent="0.25">
      <c r="B51" s="121" t="s">
        <v>92</v>
      </c>
      <c r="C51" s="85"/>
      <c r="D51" s="85"/>
      <c r="E51" s="85"/>
      <c r="F51" s="85"/>
      <c r="G51" s="85"/>
      <c r="H51" s="85"/>
      <c r="I51" s="85"/>
      <c r="J51" s="85"/>
      <c r="K51" s="85"/>
      <c r="L51" s="85"/>
      <c r="M51" s="85"/>
      <c r="N51" s="85"/>
      <c r="Q51" s="96"/>
      <c r="R51" s="96"/>
    </row>
    <row r="52" spans="1:24" ht="51.75" customHeight="1" x14ac:dyDescent="0.25">
      <c r="B52" s="445" t="s">
        <v>87</v>
      </c>
      <c r="C52" s="446"/>
      <c r="D52" s="97" t="str">
        <f>IF(Instructions!$U$40=1,"Gallons per Cycle","Liters per Cycle")</f>
        <v>Gallons per Cycle</v>
      </c>
      <c r="E52" s="120" t="s">
        <v>88</v>
      </c>
      <c r="F52" s="97" t="str">
        <f>IF(Instructions!$U$40=1,"Flow Rate (gpm)","Flow Rate (lpm)")</f>
        <v>Flow Rate (gpm)</v>
      </c>
      <c r="H52" s="85"/>
      <c r="I52" s="85"/>
      <c r="J52" s="85"/>
      <c r="K52" s="85"/>
      <c r="L52" s="85"/>
      <c r="M52" s="85"/>
      <c r="N52" s="85"/>
      <c r="Q52" s="96"/>
      <c r="R52" s="96"/>
    </row>
    <row r="53" spans="1:24" ht="21" customHeight="1" x14ac:dyDescent="0.25">
      <c r="B53" s="445"/>
      <c r="C53" s="446"/>
      <c r="D53" s="258"/>
      <c r="E53" s="258"/>
      <c r="F53" s="257">
        <f>IFERROR((D53*60)/E53,0)</f>
        <v>0</v>
      </c>
    </row>
    <row r="54" spans="1:24" ht="24.75" customHeight="1" x14ac:dyDescent="0.25">
      <c r="C54" s="85"/>
      <c r="D54" s="85"/>
      <c r="E54" s="85"/>
      <c r="F54" s="85"/>
      <c r="G54" s="85"/>
      <c r="H54" s="85"/>
      <c r="I54" s="85"/>
      <c r="J54" s="85"/>
      <c r="K54" s="85"/>
      <c r="L54" s="85"/>
      <c r="M54" s="85"/>
      <c r="N54" s="85"/>
      <c r="Q54" s="96"/>
      <c r="R54" s="96"/>
    </row>
    <row r="55" spans="1:24" ht="24.75" customHeight="1" x14ac:dyDescent="0.2">
      <c r="B55" s="69" t="s">
        <v>23</v>
      </c>
    </row>
    <row r="56" spans="1:24" ht="81" customHeight="1" x14ac:dyDescent="0.25">
      <c r="B56" s="466" t="s">
        <v>106</v>
      </c>
      <c r="C56" s="466"/>
      <c r="D56" s="466"/>
      <c r="E56" s="466"/>
      <c r="F56" s="466"/>
      <c r="G56" s="466"/>
      <c r="H56" s="466"/>
      <c r="I56" s="466"/>
      <c r="J56" s="466"/>
      <c r="K56" s="466"/>
      <c r="L56" s="466"/>
      <c r="M56" s="466"/>
      <c r="N56" s="466"/>
      <c r="O56" s="466"/>
      <c r="P56" s="466"/>
      <c r="Q56" s="466"/>
      <c r="R56" s="466"/>
      <c r="S56" s="466"/>
      <c r="T56" s="466"/>
      <c r="U56" s="466"/>
      <c r="V56" s="466"/>
      <c r="W56" s="466"/>
      <c r="X56" s="466"/>
    </row>
    <row r="57" spans="1:24" ht="21" customHeight="1" x14ac:dyDescent="0.25">
      <c r="B57" s="471" t="s">
        <v>11</v>
      </c>
      <c r="C57" s="475" t="s">
        <v>16</v>
      </c>
      <c r="D57" s="475" t="str">
        <f>IF(Instructions!U40=1,"Flow Rate (gpm)","Flow Rate (lpm)")</f>
        <v>Flow Rate (gpm)</v>
      </c>
      <c r="E57" s="474" t="s">
        <v>93</v>
      </c>
      <c r="F57" s="472" t="s">
        <v>21</v>
      </c>
      <c r="G57" s="473"/>
      <c r="H57" s="467" t="s">
        <v>76</v>
      </c>
      <c r="I57" s="468"/>
      <c r="J57" s="115"/>
      <c r="K57" s="447" t="s">
        <v>79</v>
      </c>
      <c r="L57" s="469"/>
      <c r="M57" s="447" t="s">
        <v>70</v>
      </c>
      <c r="N57" s="448"/>
      <c r="O57" s="470" t="s">
        <v>19</v>
      </c>
      <c r="P57" s="469"/>
      <c r="Q57" s="447" t="s">
        <v>50</v>
      </c>
      <c r="R57" s="448"/>
      <c r="S57" s="470" t="s">
        <v>3</v>
      </c>
      <c r="T57" s="469"/>
      <c r="U57" s="447" t="str">
        <f>IF($I$6="Other (please specify)","Other",$I$6)</f>
        <v>Other (specify)</v>
      </c>
      <c r="V57" s="448"/>
      <c r="W57" s="123"/>
      <c r="X57" s="449" t="str">
        <f>IF(Instructions!$U$40=1,"Total Daily Water Use 
(gpf)","Total Daily Water Use 
(lpm)")</f>
        <v>Total Daily Water Use 
(gpf)</v>
      </c>
    </row>
    <row r="58" spans="1:24" s="90" customFormat="1" ht="55.9" customHeight="1" x14ac:dyDescent="0.25">
      <c r="B58" s="471"/>
      <c r="C58" s="475"/>
      <c r="D58" s="475"/>
      <c r="E58" s="474"/>
      <c r="F58" s="125" t="s">
        <v>82</v>
      </c>
      <c r="G58" s="126" t="s">
        <v>22</v>
      </c>
      <c r="H58" s="108" t="s">
        <v>86</v>
      </c>
      <c r="I58" s="385" t="s">
        <v>84</v>
      </c>
      <c r="J58" s="116"/>
      <c r="K58" s="388" t="s">
        <v>77</v>
      </c>
      <c r="L58" s="91" t="str">
        <f>IF(Instructions!$U$40=1,"Daily Water Use 
(gpf)","Daily Water Use 
(lpm)")</f>
        <v>Daily Water Use 
(gpf)</v>
      </c>
      <c r="M58" s="388" t="s">
        <v>77</v>
      </c>
      <c r="N58" s="91" t="str">
        <f>IF(Instructions!$U$40=1,"Daily Water Use 
(gpf)","Daily Water Use 
(lpm)")</f>
        <v>Daily Water Use 
(gpf)</v>
      </c>
      <c r="O58" s="108" t="s">
        <v>77</v>
      </c>
      <c r="P58" s="91" t="str">
        <f>IF(Instructions!$U$40=1,"Daily Water Use 
(gpf)","Daily Water Use 
(lpm)")</f>
        <v>Daily Water Use 
(gpf)</v>
      </c>
      <c r="Q58" s="388" t="s">
        <v>77</v>
      </c>
      <c r="R58" s="91" t="str">
        <f>IF(Instructions!$U$40=1,"Daily Water Use 
(gpf)","Daily Water Use 
(lpm)")</f>
        <v>Daily Water Use 
(gpf)</v>
      </c>
      <c r="S58" s="108" t="s">
        <v>77</v>
      </c>
      <c r="T58" s="91" t="str">
        <f>IF(Instructions!$U$40=1,"Daily Water Use 
(gpf)","Daily Water Use 
(lpm)")</f>
        <v>Daily Water Use 
(gpf)</v>
      </c>
      <c r="U58" s="388" t="s">
        <v>77</v>
      </c>
      <c r="V58" s="91" t="str">
        <f>IF(Instructions!$U$40=1,"Daily Water Use 
(gpf)","Daily Water Use 
(lpm)")</f>
        <v>Daily Water Use 
(gpf)</v>
      </c>
      <c r="W58" s="71"/>
      <c r="X58" s="450"/>
    </row>
    <row r="59" spans="1:24" ht="15" customHeight="1" x14ac:dyDescent="0.25">
      <c r="A59" s="338">
        <f>IF(B59&gt;=0,1,1)</f>
        <v>1</v>
      </c>
      <c r="B59" s="259" t="s">
        <v>38</v>
      </c>
      <c r="C59" s="379" t="str">
        <f>IF(ISBLANK(B59),"",VLOOKUP(B59,B$43:V$48,2,0))</f>
        <v>Public lavatory (restroom) faucet</v>
      </c>
      <c r="D59" s="296">
        <v>0.25</v>
      </c>
      <c r="E59" s="297">
        <v>100</v>
      </c>
      <c r="F59" s="298"/>
      <c r="G59" s="298"/>
      <c r="H59" s="299">
        <f>IF(ISBLANK(B59),0,VLOOKUP(B59,$B$45:$U$48,6,0))</f>
        <v>30</v>
      </c>
      <c r="I59" s="300">
        <f>IF(ISBLANK(B59),0,VLOOKUP(B59,$B$45:$U$48,7,0))</f>
        <v>0</v>
      </c>
      <c r="J59" s="117"/>
      <c r="K59" s="275">
        <f>IF(ISBLANK(B59),0,VLOOKUP($B59,$B$43:$V$48,10,0))</f>
        <v>3</v>
      </c>
      <c r="L59" s="312">
        <f>$D59*($H59/60)*K59*($D$7*($E59/100))</f>
        <v>0</v>
      </c>
      <c r="M59" s="275">
        <f>IF(ISBLANK(B59),0,VLOOKUP($B59,$B$43:$V$48,12,0))</f>
        <v>0.5</v>
      </c>
      <c r="N59" s="315">
        <f>$D59*($H59/60)*M59*(E$7*($E59/100))</f>
        <v>0</v>
      </c>
      <c r="O59" s="276">
        <f>IF(ISBLANK(B59),0,VLOOKUP($B59,$B$43:$V$48,14,0))</f>
        <v>0.2</v>
      </c>
      <c r="P59" s="312">
        <f>$D59*($H59/60)*O59*(F$7*($E59/100))</f>
        <v>0</v>
      </c>
      <c r="Q59" s="275">
        <f>IF(ISBLANK(B59),0,VLOOKUP($B59,$B$43:$V$48,16,0))</f>
        <v>3</v>
      </c>
      <c r="R59" s="315">
        <f>$D59*($H59/60)*Q59*($G$7*($E59/100))</f>
        <v>62.63</v>
      </c>
      <c r="S59" s="276">
        <f>IF(ISBLANK(B59),0,VLOOKUP($B59,$B$43:$V$48,18,0))</f>
        <v>0</v>
      </c>
      <c r="T59" s="312">
        <f>$D59*($I59/60)*S59*($H$7*($E59/100))</f>
        <v>0</v>
      </c>
      <c r="U59" s="275">
        <f>IF(ISBLANK(B59),0,VLOOKUP($B59,$B$43:$V$48,20,0))</f>
        <v>0</v>
      </c>
      <c r="V59" s="312">
        <f>$D59*($H59/60)*U59*(I$7*($E59/100))</f>
        <v>0</v>
      </c>
      <c r="W59" s="311"/>
      <c r="X59" s="318">
        <f>SUM(L59,R59,N59,P59,T59,V59)</f>
        <v>62.63</v>
      </c>
    </row>
    <row r="60" spans="1:24" ht="15" customHeight="1" x14ac:dyDescent="0.25">
      <c r="A60" s="338">
        <f t="shared" ref="A60:A61" si="9">IF(B60&gt;=0,1,1)</f>
        <v>1</v>
      </c>
      <c r="B60" s="264" t="s">
        <v>40</v>
      </c>
      <c r="C60" s="380" t="str">
        <f>IF(ISBLANK(B60),"",VLOOKUP(B60,B$43:V$48,2,0))</f>
        <v>Kitchen faucet</v>
      </c>
      <c r="D60" s="301">
        <v>1.28</v>
      </c>
      <c r="E60" s="302">
        <v>100</v>
      </c>
      <c r="F60" s="303"/>
      <c r="G60" s="303"/>
      <c r="H60" s="304">
        <f>IF(ISBLANK(B60),0,VLOOKUP(B60,$B$45:$U$48,6,0))</f>
        <v>15</v>
      </c>
      <c r="I60" s="305">
        <f>IF(ISBLANK(B60),0,VLOOKUP(B60,$B$45:$U$48,7,0))</f>
        <v>60</v>
      </c>
      <c r="J60" s="117"/>
      <c r="K60" s="277">
        <f t="shared" ref="K60:K63" si="10">IF(ISBLANK(B60),0,VLOOKUP($B60,$B$43:$V$48,10,0))</f>
        <v>1</v>
      </c>
      <c r="L60" s="313">
        <f>$D60*($H60/60)*K60*($D$7*($E60/100))</f>
        <v>0</v>
      </c>
      <c r="M60" s="277">
        <f t="shared" ref="M60:M63" si="11">IF(ISBLANK(B60),0,VLOOKUP($B60,$B$43:$V$48,12,0))</f>
        <v>0</v>
      </c>
      <c r="N60" s="316">
        <f>$D60*($H60/60)*M60*(E$7*($E60/100))</f>
        <v>0</v>
      </c>
      <c r="O60" s="278">
        <f t="shared" ref="O60:O63" si="12">IF(ISBLANK(B60),0,VLOOKUP($B60,$B$43:$V$48,14,0))</f>
        <v>0</v>
      </c>
      <c r="P60" s="313">
        <f>$D60*($H60/60)*O60*(F$7*($E60/100))</f>
        <v>0</v>
      </c>
      <c r="Q60" s="277">
        <f t="shared" ref="Q60:Q63" si="13">IF(ISBLANK(B60),0,VLOOKUP($B60,$B$43:$V$48,16,0))</f>
        <v>3</v>
      </c>
      <c r="R60" s="316">
        <f>$D60*($H60/60)*Q60*($G$7*($E60/100))</f>
        <v>160.32</v>
      </c>
      <c r="S60" s="278">
        <f t="shared" ref="S60:S63" si="14">IF(ISBLANK(B60),0,VLOOKUP($B60,$B$43:$V$48,18,0))</f>
        <v>4</v>
      </c>
      <c r="T60" s="313">
        <f>$D60*($I60/60)*S60*($H$7*($E60/100))</f>
        <v>0</v>
      </c>
      <c r="U60" s="277">
        <f t="shared" ref="U60:U63" si="15">IF(ISBLANK(B60),0,VLOOKUP($B60,$B$43:$V$48,20,0))</f>
        <v>0</v>
      </c>
      <c r="V60" s="313">
        <f>$D60*($H60/60)*U60*(I$7*($E60/100))</f>
        <v>0</v>
      </c>
      <c r="W60" s="311"/>
      <c r="X60" s="319">
        <f>SUM(L60,R60,N60,P60,T60,V60)</f>
        <v>160.32</v>
      </c>
    </row>
    <row r="61" spans="1:24" ht="15" customHeight="1" x14ac:dyDescent="0.25">
      <c r="A61" s="338">
        <f t="shared" si="9"/>
        <v>1</v>
      </c>
      <c r="B61" s="264" t="s">
        <v>41</v>
      </c>
      <c r="C61" s="380" t="str">
        <f>IF(ISBLANK(B61),"",VLOOKUP(B61,B$43:V$48,2,0))</f>
        <v>Showerhead</v>
      </c>
      <c r="D61" s="301">
        <v>2</v>
      </c>
      <c r="E61" s="302">
        <v>100</v>
      </c>
      <c r="F61" s="303"/>
      <c r="G61" s="303"/>
      <c r="H61" s="304">
        <f>IF(ISBLANK(B61),0,VLOOKUP(B61,$B$45:$U$48,6,0))</f>
        <v>300</v>
      </c>
      <c r="I61" s="305">
        <f>IF(ISBLANK(B61),0,VLOOKUP(B61,$B$45:$U$48,7,0))</f>
        <v>480</v>
      </c>
      <c r="J61" s="117"/>
      <c r="K61" s="277">
        <f t="shared" si="10"/>
        <v>0.1</v>
      </c>
      <c r="L61" s="313">
        <f>$D61*($H61/60)*K61*($D$7*($E61/100))</f>
        <v>0</v>
      </c>
      <c r="M61" s="277">
        <f t="shared" si="11"/>
        <v>0</v>
      </c>
      <c r="N61" s="316">
        <f>$D61*($H61/60)*M61*(E$7*($E61/100))</f>
        <v>0</v>
      </c>
      <c r="O61" s="278">
        <f t="shared" si="12"/>
        <v>0</v>
      </c>
      <c r="P61" s="313">
        <f>$D61*($H61/60)*O61*(F$7*($E61/100))</f>
        <v>0</v>
      </c>
      <c r="Q61" s="277">
        <f t="shared" si="13"/>
        <v>1</v>
      </c>
      <c r="R61" s="316">
        <f>$D61*($H61/60)*Q61*($G$7*($E61/100))</f>
        <v>1670</v>
      </c>
      <c r="S61" s="278">
        <f t="shared" si="14"/>
        <v>1</v>
      </c>
      <c r="T61" s="313">
        <f>$D61*($I61/60)*S61*($H$7*($E61/100))</f>
        <v>0</v>
      </c>
      <c r="U61" s="277">
        <f t="shared" si="15"/>
        <v>0</v>
      </c>
      <c r="V61" s="313">
        <f>$D61*($H61/60)*U61*(I$7*($E61/100))</f>
        <v>0</v>
      </c>
      <c r="W61" s="311"/>
      <c r="X61" s="319">
        <f>SUM(L61,R61,N61,P61,T61,V61)</f>
        <v>1670</v>
      </c>
    </row>
    <row r="62" spans="1:24" ht="15" customHeight="1" x14ac:dyDescent="0.25">
      <c r="A62" s="338"/>
      <c r="B62" s="264" t="s">
        <v>39</v>
      </c>
      <c r="C62" s="380" t="str">
        <f>IF(ISBLANK(B62),"",VLOOKUP(B62,B$43:V$48,2,0))</f>
        <v>Private lavatory faucet</v>
      </c>
      <c r="D62" s="301">
        <v>1</v>
      </c>
      <c r="E62" s="302">
        <v>100</v>
      </c>
      <c r="F62" s="303"/>
      <c r="G62" s="303"/>
      <c r="H62" s="304">
        <f>IF(ISBLANK(B62),0,VLOOKUP(B62,$B$45:$U$48,6,0))</f>
        <v>30</v>
      </c>
      <c r="I62" s="305">
        <f>IF(ISBLANK(B62),0,VLOOKUP(B62,$B$45:$U$48,7,0))</f>
        <v>60</v>
      </c>
      <c r="J62" s="117"/>
      <c r="K62" s="277">
        <f t="shared" si="10"/>
        <v>0</v>
      </c>
      <c r="L62" s="313">
        <f>$D62*($H62/60)*K62*($D$7*($E62/100))</f>
        <v>0</v>
      </c>
      <c r="M62" s="277">
        <f t="shared" si="11"/>
        <v>0</v>
      </c>
      <c r="N62" s="316">
        <f>$D62*($H62/60)*M62*(E$7*($E62/100))</f>
        <v>0</v>
      </c>
      <c r="O62" s="278">
        <f t="shared" si="12"/>
        <v>0</v>
      </c>
      <c r="P62" s="313">
        <f>$D62*($H62/60)*O62*(F$7*($E62/100))</f>
        <v>0</v>
      </c>
      <c r="Q62" s="277">
        <f t="shared" si="13"/>
        <v>1</v>
      </c>
      <c r="R62" s="316">
        <f>$D62*($H62/60)*Q62*($G$7*($E62/100))</f>
        <v>83.5</v>
      </c>
      <c r="S62" s="278">
        <f t="shared" si="14"/>
        <v>5</v>
      </c>
      <c r="T62" s="313">
        <f>$D62*($I62/60)*S62*($H$7*($E62/100))</f>
        <v>0</v>
      </c>
      <c r="U62" s="277">
        <f t="shared" si="15"/>
        <v>0</v>
      </c>
      <c r="V62" s="313">
        <f>$D62*($H62/60)*U62*(I$7*($E62/100))</f>
        <v>0</v>
      </c>
      <c r="W62" s="311"/>
      <c r="X62" s="319">
        <f>SUM(L62,R62,N62,P62,T62,V62)</f>
        <v>83.5</v>
      </c>
    </row>
    <row r="63" spans="1:24" ht="15" customHeight="1" x14ac:dyDescent="0.25">
      <c r="A63" s="338"/>
      <c r="B63" s="269"/>
      <c r="C63" s="381" t="str">
        <f>IF(ISBLANK(B63),"",VLOOKUP(B63,B$43:V$48,2,0))</f>
        <v/>
      </c>
      <c r="D63" s="306"/>
      <c r="E63" s="307"/>
      <c r="F63" s="308"/>
      <c r="G63" s="308"/>
      <c r="H63" s="309">
        <f>IF(ISBLANK(B63),0,VLOOKUP(B63,$B$45:$U$48,6,0))</f>
        <v>0</v>
      </c>
      <c r="I63" s="310">
        <f>IF(ISBLANK(B63),0,VLOOKUP(B63,$B$45:$U$48,7,0))</f>
        <v>0</v>
      </c>
      <c r="J63" s="117"/>
      <c r="K63" s="280">
        <f t="shared" si="10"/>
        <v>0</v>
      </c>
      <c r="L63" s="314">
        <f>$D63*($H63/60)*K63*($D$7*($E63/100))</f>
        <v>0</v>
      </c>
      <c r="M63" s="280">
        <f t="shared" si="11"/>
        <v>0</v>
      </c>
      <c r="N63" s="317">
        <f>$D63*($H63/60)*M63*(E$7*($E63/100))</f>
        <v>0</v>
      </c>
      <c r="O63" s="281">
        <f t="shared" si="12"/>
        <v>0</v>
      </c>
      <c r="P63" s="314">
        <f>$D63*($H63/60)*O63*(F$7*($E63/100))</f>
        <v>0</v>
      </c>
      <c r="Q63" s="280">
        <f t="shared" si="13"/>
        <v>0</v>
      </c>
      <c r="R63" s="317">
        <f>$D63*($H63/60)*Q63*($G$7*($E63/100))</f>
        <v>0</v>
      </c>
      <c r="S63" s="281">
        <f t="shared" si="14"/>
        <v>0</v>
      </c>
      <c r="T63" s="314">
        <f>$D63*($I63/60)*S63*($H$7*($E63/100))</f>
        <v>0</v>
      </c>
      <c r="U63" s="280">
        <f t="shared" si="15"/>
        <v>0</v>
      </c>
      <c r="V63" s="314">
        <f>$D63*($H63/60)*U63*(I$7*($E63/100))</f>
        <v>0</v>
      </c>
      <c r="W63" s="282"/>
      <c r="X63" s="320">
        <f>SUM(L63,R63,N63,P63,T63,V63)</f>
        <v>0</v>
      </c>
    </row>
    <row r="64" spans="1:24" ht="24.75" customHeight="1" x14ac:dyDescent="0.25">
      <c r="A64" s="338" t="s">
        <v>107</v>
      </c>
      <c r="B64" s="382" t="str">
        <f>IF(Instructions!$U$40=1,"Design case annual flow volume (gallons/year)","Design case annual flow volume (liters/year)")</f>
        <v>Design case annual flow volume (gallons/year)</v>
      </c>
      <c r="C64" s="94"/>
      <c r="D64" s="94"/>
      <c r="E64" s="94"/>
      <c r="F64" s="94"/>
      <c r="G64" s="94"/>
      <c r="H64" s="94"/>
      <c r="I64" s="339">
        <f>(SUM(X59:X63)*$I$13)</f>
        <v>721404.25</v>
      </c>
      <c r="J64" s="118"/>
      <c r="K64" s="94"/>
      <c r="L64" s="94"/>
      <c r="M64" s="94"/>
      <c r="N64" s="94"/>
      <c r="O64" s="94"/>
      <c r="P64" s="119"/>
      <c r="Q64" s="94"/>
      <c r="R64" s="94"/>
      <c r="S64" s="94"/>
      <c r="T64" s="95"/>
      <c r="U64" s="94"/>
      <c r="V64" s="94"/>
      <c r="W64" s="122"/>
      <c r="X64" s="103"/>
    </row>
    <row r="65" spans="1:26" ht="20.25" customHeight="1" x14ac:dyDescent="0.25">
      <c r="B65" s="104"/>
      <c r="G65" s="85"/>
      <c r="H65" s="85"/>
      <c r="I65" s="99"/>
      <c r="J65" s="99"/>
      <c r="K65" s="85"/>
      <c r="L65" s="85"/>
      <c r="Q65" s="96"/>
      <c r="R65" s="96"/>
    </row>
    <row r="66" spans="1:26" ht="24.75" customHeight="1" x14ac:dyDescent="0.25">
      <c r="B66" s="102"/>
      <c r="G66" s="85"/>
      <c r="H66" s="85"/>
      <c r="I66" s="99"/>
      <c r="J66" s="99"/>
      <c r="K66" s="85"/>
      <c r="L66" s="85"/>
      <c r="Q66" s="96"/>
      <c r="R66" s="96"/>
    </row>
    <row r="67" spans="1:26" ht="24.75" customHeight="1" x14ac:dyDescent="0.25">
      <c r="B67" s="102"/>
      <c r="G67" s="85"/>
      <c r="H67" s="85"/>
      <c r="I67" s="99"/>
      <c r="J67" s="99"/>
      <c r="K67" s="85"/>
      <c r="L67" s="85"/>
      <c r="Q67" s="96"/>
      <c r="R67" s="96"/>
    </row>
    <row r="68" spans="1:26" ht="24.75" customHeight="1" x14ac:dyDescent="0.25"/>
    <row r="69" spans="1:26" ht="24" customHeight="1" x14ac:dyDescent="0.25">
      <c r="L69" s="105"/>
    </row>
    <row r="70" spans="1:26" ht="18" customHeight="1" x14ac:dyDescent="0.25">
      <c r="A70" s="100"/>
      <c r="B70" s="57"/>
      <c r="C70" s="57"/>
      <c r="D70" s="57"/>
      <c r="E70" s="57"/>
      <c r="F70" s="57"/>
      <c r="G70" s="57"/>
      <c r="H70" s="57"/>
      <c r="I70" s="57"/>
      <c r="J70" s="57"/>
      <c r="K70" s="57"/>
      <c r="L70" s="107"/>
      <c r="Q70" s="100"/>
    </row>
    <row r="71" spans="1:26" ht="18" customHeight="1" x14ac:dyDescent="0.25">
      <c r="A71" s="100"/>
      <c r="B71" s="60"/>
      <c r="C71" s="100"/>
      <c r="D71" s="57"/>
      <c r="E71" s="57"/>
      <c r="F71" s="100"/>
      <c r="G71" s="100"/>
      <c r="H71" s="100"/>
      <c r="I71" s="58"/>
      <c r="J71" s="58"/>
      <c r="K71" s="58"/>
      <c r="L71" s="107"/>
      <c r="Q71" s="100"/>
    </row>
    <row r="72" spans="1:26" ht="18" customHeight="1" x14ac:dyDescent="0.25">
      <c r="A72" s="100"/>
      <c r="B72" s="59"/>
      <c r="C72" s="61"/>
      <c r="D72" s="57"/>
      <c r="E72" s="57"/>
      <c r="F72" s="100"/>
      <c r="G72" s="100"/>
      <c r="H72" s="100"/>
      <c r="I72" s="57"/>
      <c r="J72" s="57"/>
      <c r="K72" s="57"/>
      <c r="L72" s="107"/>
      <c r="Q72" s="100"/>
    </row>
    <row r="73" spans="1:26" ht="24" customHeight="1" x14ac:dyDescent="0.25">
      <c r="A73" s="100"/>
      <c r="B73" s="60"/>
      <c r="C73" s="61"/>
      <c r="D73" s="61"/>
      <c r="E73" s="61"/>
      <c r="F73" s="61"/>
      <c r="G73" s="61"/>
      <c r="H73" s="61"/>
      <c r="I73" s="57"/>
      <c r="J73" s="57"/>
      <c r="K73" s="57"/>
      <c r="L73" s="107"/>
      <c r="Q73" s="100"/>
    </row>
    <row r="74" spans="1:26" ht="15" customHeight="1" x14ac:dyDescent="0.25">
      <c r="A74" s="100"/>
      <c r="B74" s="60"/>
      <c r="C74" s="100"/>
      <c r="D74" s="61"/>
      <c r="E74" s="61"/>
      <c r="F74" s="100"/>
      <c r="G74" s="100"/>
      <c r="H74" s="100"/>
      <c r="I74" s="57"/>
      <c r="J74" s="57"/>
      <c r="K74" s="57"/>
      <c r="L74" s="62"/>
      <c r="Q74" s="100"/>
      <c r="Y74" s="46"/>
      <c r="Z74" s="46"/>
    </row>
    <row r="75" spans="1:26" ht="15" customHeight="1" x14ac:dyDescent="0.25">
      <c r="A75" s="100"/>
      <c r="B75" s="63"/>
      <c r="C75" s="100"/>
      <c r="D75" s="61"/>
      <c r="E75" s="57"/>
      <c r="F75" s="100"/>
      <c r="G75" s="100"/>
      <c r="H75" s="100"/>
      <c r="I75" s="101"/>
      <c r="J75" s="101"/>
      <c r="K75" s="57"/>
      <c r="L75" s="100"/>
      <c r="Q75" s="100"/>
      <c r="Z75" s="46"/>
    </row>
    <row r="76" spans="1:26" ht="15" customHeight="1" x14ac:dyDescent="0.25">
      <c r="A76" s="100"/>
      <c r="B76" s="63"/>
      <c r="C76" s="100"/>
      <c r="D76" s="61"/>
      <c r="E76" s="57"/>
      <c r="F76" s="100"/>
      <c r="G76" s="100"/>
      <c r="H76" s="100"/>
      <c r="I76" s="64"/>
      <c r="J76" s="64"/>
      <c r="K76" s="57"/>
      <c r="L76" s="100"/>
      <c r="Q76" s="100"/>
    </row>
    <row r="77" spans="1:26" ht="15" customHeight="1" x14ac:dyDescent="0.25">
      <c r="A77" s="100"/>
      <c r="B77" s="63"/>
      <c r="C77" s="100"/>
      <c r="D77" s="61"/>
      <c r="E77" s="57"/>
      <c r="F77" s="100"/>
      <c r="G77" s="100"/>
      <c r="H77" s="100"/>
      <c r="I77" s="101"/>
      <c r="J77" s="101"/>
      <c r="K77" s="57"/>
      <c r="L77" s="100"/>
      <c r="Q77" s="100"/>
    </row>
    <row r="78" spans="1:26" ht="15" customHeight="1" x14ac:dyDescent="0.25">
      <c r="A78" s="100"/>
      <c r="B78" s="63"/>
      <c r="C78" s="100"/>
      <c r="D78" s="61"/>
      <c r="E78" s="57"/>
      <c r="F78" s="100"/>
      <c r="G78" s="100"/>
      <c r="H78" s="100"/>
      <c r="I78" s="65"/>
      <c r="J78" s="65"/>
      <c r="K78" s="57"/>
      <c r="L78" s="100"/>
      <c r="Q78" s="100"/>
    </row>
    <row r="79" spans="1:26" ht="15" customHeight="1" x14ac:dyDescent="0.25">
      <c r="A79" s="100"/>
      <c r="B79" s="63"/>
      <c r="C79" s="100"/>
      <c r="D79" s="61"/>
      <c r="E79" s="57"/>
      <c r="F79" s="100"/>
      <c r="G79" s="100"/>
      <c r="H79" s="100"/>
      <c r="I79" s="101"/>
      <c r="J79" s="101"/>
      <c r="K79" s="57"/>
      <c r="L79" s="100"/>
      <c r="Q79" s="100"/>
    </row>
    <row r="80" spans="1:26" ht="15" customHeight="1" x14ac:dyDescent="0.25">
      <c r="A80" s="100"/>
      <c r="B80" s="59"/>
      <c r="C80" s="66"/>
      <c r="D80" s="66"/>
      <c r="E80" s="57"/>
      <c r="F80" s="100"/>
      <c r="G80" s="100"/>
      <c r="H80" s="100"/>
      <c r="I80" s="67"/>
      <c r="J80" s="67"/>
      <c r="K80" s="57"/>
      <c r="L80" s="100"/>
      <c r="Q80" s="100"/>
    </row>
    <row r="81" spans="1:17" ht="24" customHeight="1" x14ac:dyDescent="0.25">
      <c r="A81" s="100"/>
      <c r="B81" s="60"/>
      <c r="C81" s="61"/>
      <c r="D81" s="61"/>
      <c r="E81" s="61"/>
      <c r="F81" s="61"/>
      <c r="G81" s="61"/>
      <c r="H81" s="61"/>
      <c r="I81" s="57"/>
      <c r="J81" s="57"/>
      <c r="K81" s="57"/>
      <c r="L81" s="100"/>
      <c r="Q81" s="100"/>
    </row>
    <row r="82" spans="1:17" ht="15" customHeight="1" x14ac:dyDescent="0.25">
      <c r="A82" s="100"/>
      <c r="B82" s="60"/>
      <c r="C82" s="100"/>
      <c r="D82" s="61"/>
      <c r="E82" s="61"/>
      <c r="F82" s="100"/>
      <c r="G82" s="100"/>
      <c r="H82" s="100"/>
      <c r="I82" s="57"/>
      <c r="J82" s="57"/>
      <c r="K82" s="57"/>
      <c r="L82" s="100"/>
      <c r="Q82" s="100"/>
    </row>
    <row r="83" spans="1:17" ht="15" customHeight="1" x14ac:dyDescent="0.25">
      <c r="A83" s="100"/>
      <c r="B83" s="63"/>
      <c r="C83" s="100"/>
      <c r="D83" s="61"/>
      <c r="E83" s="57"/>
      <c r="F83" s="100"/>
      <c r="G83" s="100"/>
      <c r="H83" s="100"/>
      <c r="I83" s="101"/>
      <c r="J83" s="101"/>
      <c r="K83" s="57"/>
      <c r="L83" s="100"/>
      <c r="Q83" s="100"/>
    </row>
    <row r="84" spans="1:17" ht="15" customHeight="1" x14ac:dyDescent="0.25">
      <c r="A84" s="100"/>
      <c r="B84" s="63"/>
      <c r="C84" s="100"/>
      <c r="D84" s="61"/>
      <c r="E84" s="57"/>
      <c r="F84" s="100"/>
      <c r="G84" s="100"/>
      <c r="H84" s="100"/>
      <c r="I84" s="57"/>
      <c r="J84" s="57"/>
      <c r="K84" s="57"/>
      <c r="L84" s="100"/>
      <c r="Q84" s="100"/>
    </row>
    <row r="85" spans="1:17" ht="15" customHeight="1" x14ac:dyDescent="0.25">
      <c r="A85" s="100"/>
      <c r="B85" s="63"/>
      <c r="C85" s="100"/>
      <c r="D85" s="61"/>
      <c r="E85" s="57"/>
      <c r="F85" s="100"/>
      <c r="G85" s="100"/>
      <c r="H85" s="100"/>
      <c r="I85" s="101"/>
      <c r="J85" s="101"/>
      <c r="K85" s="57"/>
      <c r="L85" s="100"/>
      <c r="Q85" s="100"/>
    </row>
    <row r="86" spans="1:17" ht="15" customHeight="1" x14ac:dyDescent="0.25">
      <c r="A86" s="100"/>
      <c r="B86" s="63"/>
      <c r="C86" s="100"/>
      <c r="D86" s="61"/>
      <c r="E86" s="57"/>
      <c r="F86" s="100"/>
      <c r="G86" s="100"/>
      <c r="H86" s="100"/>
      <c r="I86" s="57"/>
      <c r="J86" s="57"/>
      <c r="K86" s="57"/>
      <c r="L86" s="100"/>
      <c r="Q86" s="100"/>
    </row>
    <row r="87" spans="1:17" ht="15" customHeight="1" x14ac:dyDescent="0.25">
      <c r="A87" s="100"/>
      <c r="B87" s="63"/>
      <c r="C87" s="100"/>
      <c r="D87" s="61"/>
      <c r="E87" s="57"/>
      <c r="F87" s="100"/>
      <c r="G87" s="100"/>
      <c r="H87" s="100"/>
      <c r="I87" s="101"/>
      <c r="J87" s="101"/>
      <c r="K87" s="57"/>
      <c r="L87" s="100"/>
      <c r="Q87" s="100"/>
    </row>
    <row r="88" spans="1:17" ht="15" customHeight="1" x14ac:dyDescent="0.25">
      <c r="A88" s="100"/>
      <c r="B88" s="59"/>
      <c r="C88" s="66"/>
      <c r="D88" s="66"/>
      <c r="E88" s="57"/>
      <c r="F88" s="100"/>
      <c r="G88" s="100"/>
      <c r="H88" s="100"/>
      <c r="I88" s="67"/>
      <c r="J88" s="67"/>
      <c r="K88" s="57"/>
      <c r="L88" s="100"/>
      <c r="Q88" s="100"/>
    </row>
    <row r="89" spans="1:17" ht="15" customHeight="1" x14ac:dyDescent="0.25">
      <c r="A89" s="100"/>
      <c r="B89" s="60"/>
      <c r="C89" s="58"/>
      <c r="D89" s="61"/>
      <c r="E89" s="61"/>
      <c r="F89" s="61"/>
      <c r="G89" s="61"/>
      <c r="H89" s="61"/>
      <c r="I89" s="57"/>
      <c r="J89" s="57"/>
      <c r="K89" s="57"/>
      <c r="L89" s="100"/>
      <c r="Q89" s="100"/>
    </row>
    <row r="90" spans="1:17" ht="15" customHeight="1" x14ac:dyDescent="0.25">
      <c r="A90" s="100"/>
      <c r="B90" s="63"/>
      <c r="C90" s="100"/>
      <c r="D90" s="61"/>
      <c r="E90" s="57"/>
      <c r="F90" s="100"/>
      <c r="G90" s="100"/>
      <c r="H90" s="100"/>
      <c r="I90" s="62"/>
      <c r="J90" s="62"/>
      <c r="K90" s="68"/>
      <c r="L90" s="100"/>
      <c r="Q90" s="100"/>
    </row>
    <row r="91" spans="1:17" ht="24.75" customHeight="1" x14ac:dyDescent="0.25">
      <c r="A91" s="100"/>
      <c r="B91" s="57"/>
      <c r="C91" s="66"/>
      <c r="D91" s="67"/>
      <c r="E91" s="57"/>
      <c r="F91" s="57"/>
      <c r="G91" s="57"/>
      <c r="H91" s="57"/>
      <c r="I91" s="67"/>
      <c r="J91" s="67"/>
      <c r="K91" s="57"/>
      <c r="L91" s="100"/>
      <c r="Q91" s="100"/>
    </row>
    <row r="92" spans="1:17" x14ac:dyDescent="0.25">
      <c r="A92" s="100"/>
      <c r="B92" s="100"/>
      <c r="C92" s="100"/>
      <c r="D92" s="100"/>
      <c r="E92" s="100"/>
      <c r="F92" s="100"/>
      <c r="G92" s="100"/>
      <c r="H92" s="100"/>
      <c r="I92" s="100"/>
      <c r="J92" s="100"/>
      <c r="K92" s="100"/>
      <c r="L92" s="100"/>
      <c r="Q92" s="100"/>
    </row>
  </sheetData>
  <sheetProtection algorithmName="SHA-512" hashValue="t3i743X+38TVbypAidRnGxfUL+qXrLMSYeDoxuMwNfz+hNJVqIKXXx8HWGhBQhKqfEaFjJIscB/V7epYQFaMhw==" saltValue="VLqwpU6j3eM0+qO2ub34pA==" spinCount="100000" sheet="1" objects="1" scenarios="1"/>
  <mergeCells count="80">
    <mergeCell ref="B13:H13"/>
    <mergeCell ref="B5:I5"/>
    <mergeCell ref="AB5:AC5"/>
    <mergeCell ref="AD5:AE5"/>
    <mergeCell ref="B7:C7"/>
    <mergeCell ref="Y7:Y8"/>
    <mergeCell ref="B8:C8"/>
    <mergeCell ref="B9:C9"/>
    <mergeCell ref="Y9:Y10"/>
    <mergeCell ref="B10:I10"/>
    <mergeCell ref="B11:H11"/>
    <mergeCell ref="B12:I12"/>
    <mergeCell ref="C21:F21"/>
    <mergeCell ref="B16:X16"/>
    <mergeCell ref="B17:B18"/>
    <mergeCell ref="C17:F18"/>
    <mergeCell ref="G17:G18"/>
    <mergeCell ref="H17:H18"/>
    <mergeCell ref="I17:I18"/>
    <mergeCell ref="K17:L17"/>
    <mergeCell ref="M17:N17"/>
    <mergeCell ref="O17:P17"/>
    <mergeCell ref="Q17:R17"/>
    <mergeCell ref="S17:T17"/>
    <mergeCell ref="U17:V17"/>
    <mergeCell ref="X17:X18"/>
    <mergeCell ref="C19:F19"/>
    <mergeCell ref="C20:F20"/>
    <mergeCell ref="C32:D32"/>
    <mergeCell ref="B25:C26"/>
    <mergeCell ref="B29:X29"/>
    <mergeCell ref="B30:B31"/>
    <mergeCell ref="C30:D31"/>
    <mergeCell ref="E30:E31"/>
    <mergeCell ref="F30:G30"/>
    <mergeCell ref="H30:H31"/>
    <mergeCell ref="I30:I31"/>
    <mergeCell ref="K30:L30"/>
    <mergeCell ref="M30:N30"/>
    <mergeCell ref="O30:P30"/>
    <mergeCell ref="Q30:R30"/>
    <mergeCell ref="S30:T30"/>
    <mergeCell ref="U30:V30"/>
    <mergeCell ref="X30:X31"/>
    <mergeCell ref="C33:D33"/>
    <mergeCell ref="C34:D34"/>
    <mergeCell ref="C35:D35"/>
    <mergeCell ref="C36:D36"/>
    <mergeCell ref="B42:X42"/>
    <mergeCell ref="B52:C53"/>
    <mergeCell ref="K43:L43"/>
    <mergeCell ref="M43:N43"/>
    <mergeCell ref="O43:P43"/>
    <mergeCell ref="Q43:R43"/>
    <mergeCell ref="B43:B44"/>
    <mergeCell ref="C43:E44"/>
    <mergeCell ref="F43:F44"/>
    <mergeCell ref="G43:H43"/>
    <mergeCell ref="I43:I44"/>
    <mergeCell ref="X43:X44"/>
    <mergeCell ref="C45:E45"/>
    <mergeCell ref="C46:E46"/>
    <mergeCell ref="C47:E47"/>
    <mergeCell ref="C48:E48"/>
    <mergeCell ref="S43:T43"/>
    <mergeCell ref="U43:V43"/>
    <mergeCell ref="Q57:R57"/>
    <mergeCell ref="S57:T57"/>
    <mergeCell ref="U57:V57"/>
    <mergeCell ref="X57:X58"/>
    <mergeCell ref="B56:X56"/>
    <mergeCell ref="B57:B58"/>
    <mergeCell ref="C57:C58"/>
    <mergeCell ref="D57:D58"/>
    <mergeCell ref="E57:E58"/>
    <mergeCell ref="F57:G57"/>
    <mergeCell ref="H57:I57"/>
    <mergeCell ref="K57:L57"/>
    <mergeCell ref="M57:N57"/>
    <mergeCell ref="O57:P57"/>
  </mergeCells>
  <conditionalFormatting sqref="I13">
    <cfRule type="cellIs" dxfId="0" priority="1" operator="greaterThan">
      <formula>365</formula>
    </cfRule>
  </conditionalFormatting>
  <dataValidations count="4">
    <dataValidation type="list" allowBlank="1" showInputMessage="1" showErrorMessage="1" sqref="B32:B36">
      <formula1>FLUSHREF</formula1>
    </dataValidation>
    <dataValidation type="list" allowBlank="1" showInputMessage="1" showErrorMessage="1" sqref="I45:I48 I19:I21">
      <formula1>"Yes,No"</formula1>
    </dataValidation>
    <dataValidation type="list" allowBlank="1" showInputMessage="1" showErrorMessage="1" sqref="B59:B63">
      <formula1>FLOWREF</formula1>
    </dataValidation>
    <dataValidation type="list" allowBlank="1" showInputMessage="1" showErrorMessage="1" sqref="C32:D36">
      <formula1>INDIRECT(SUBSTITUTE(B32," ",""))</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FlushAdd">
                <anchor moveWithCells="1">
                  <from>
                    <xdr:col>1</xdr:col>
                    <xdr:colOff>9525</xdr:colOff>
                    <xdr:row>37</xdr:row>
                    <xdr:rowOff>123825</xdr:rowOff>
                  </from>
                  <to>
                    <xdr:col>2</xdr:col>
                    <xdr:colOff>933450</xdr:colOff>
                    <xdr:row>38</xdr:row>
                    <xdr:rowOff>133350</xdr:rowOff>
                  </to>
                </anchor>
              </controlPr>
            </control>
          </mc:Choice>
        </mc:AlternateContent>
        <mc:AlternateContent xmlns:mc="http://schemas.openxmlformats.org/markup-compatibility/2006">
          <mc:Choice Requires="x14">
            <control shapeId="46082" r:id="rId5" name="Button 2">
              <controlPr defaultSize="0" print="0" autoFill="0" autoPict="0" macro="[0]!FlowAdd">
                <anchor moveWithCells="1">
                  <from>
                    <xdr:col>1</xdr:col>
                    <xdr:colOff>9525</xdr:colOff>
                    <xdr:row>64</xdr:row>
                    <xdr:rowOff>95250</xdr:rowOff>
                  </from>
                  <to>
                    <xdr:col>2</xdr:col>
                    <xdr:colOff>933450</xdr:colOff>
                    <xdr:row>65</xdr:row>
                    <xdr:rowOff>104775</xdr:rowOff>
                  </to>
                </anchor>
              </controlPr>
            </control>
          </mc:Choice>
        </mc:AlternateContent>
        <mc:AlternateContent xmlns:mc="http://schemas.openxmlformats.org/markup-compatibility/2006">
          <mc:Choice Requires="x14">
            <control shapeId="46083" r:id="rId6" name="Button 3">
              <controlPr defaultSize="0" print="0" autoFill="0" autoPict="0" macro="[0]!DeleteA">
                <anchor moveWithCells="1">
                  <from>
                    <xdr:col>2</xdr:col>
                    <xdr:colOff>990600</xdr:colOff>
                    <xdr:row>37</xdr:row>
                    <xdr:rowOff>123825</xdr:rowOff>
                  </from>
                  <to>
                    <xdr:col>3</xdr:col>
                    <xdr:colOff>314325</xdr:colOff>
                    <xdr:row>38</xdr:row>
                    <xdr:rowOff>133350</xdr:rowOff>
                  </to>
                </anchor>
              </controlPr>
            </control>
          </mc:Choice>
        </mc:AlternateContent>
        <mc:AlternateContent xmlns:mc="http://schemas.openxmlformats.org/markup-compatibility/2006">
          <mc:Choice Requires="x14">
            <control shapeId="46084" r:id="rId7" name="Button 4">
              <controlPr defaultSize="0" print="0" autoFill="0" autoPict="0" macro="[0]!DeleteB">
                <anchor moveWithCells="1">
                  <from>
                    <xdr:col>2</xdr:col>
                    <xdr:colOff>1000125</xdr:colOff>
                    <xdr:row>64</xdr:row>
                    <xdr:rowOff>104775</xdr:rowOff>
                  </from>
                  <to>
                    <xdr:col>3</xdr:col>
                    <xdr:colOff>314325</xdr:colOff>
                    <xdr:row>65</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32"/>
  <sheetViews>
    <sheetView showGridLines="0" zoomScale="90" zoomScaleNormal="90" zoomScalePageLayoutView="80" workbookViewId="0">
      <selection activeCell="M14" sqref="M14"/>
    </sheetView>
  </sheetViews>
  <sheetFormatPr defaultColWidth="8.85546875" defaultRowHeight="15" customHeight="1" x14ac:dyDescent="0.25"/>
  <cols>
    <col min="1" max="1" width="2.7109375" style="4" customWidth="1"/>
    <col min="2" max="2" width="2.42578125" style="4" customWidth="1"/>
    <col min="3" max="3" width="2.42578125" style="4" hidden="1" customWidth="1"/>
    <col min="4" max="4" width="24.7109375" style="4" customWidth="1"/>
    <col min="5" max="8" width="12.7109375" style="4" customWidth="1"/>
    <col min="9" max="9" width="14.7109375" style="4" customWidth="1"/>
    <col min="10" max="12" width="12.7109375" style="4" customWidth="1"/>
    <col min="13" max="13" width="14.7109375" style="4" customWidth="1"/>
    <col min="14" max="14" width="2.7109375" style="4" customWidth="1"/>
    <col min="15" max="249" width="8.85546875" style="4"/>
    <col min="250" max="251" width="2.7109375" style="4" customWidth="1"/>
    <col min="252" max="252" width="7" style="4" customWidth="1"/>
    <col min="253" max="253" width="2.42578125" style="4" customWidth="1"/>
    <col min="254" max="254" width="5.7109375" style="4" customWidth="1"/>
    <col min="255" max="255" width="68.7109375" style="4" customWidth="1"/>
    <col min="256" max="256" width="2.7109375" style="4" customWidth="1"/>
    <col min="257" max="257" width="14.7109375" style="4" customWidth="1"/>
    <col min="258" max="258" width="2.7109375" style="4" customWidth="1"/>
    <col min="259" max="259" width="2.42578125" style="4" customWidth="1"/>
    <col min="260" max="260" width="28.7109375" style="4" customWidth="1"/>
    <col min="261" max="505" width="8.85546875" style="4"/>
    <col min="506" max="507" width="2.7109375" style="4" customWidth="1"/>
    <col min="508" max="508" width="7" style="4" customWidth="1"/>
    <col min="509" max="509" width="2.42578125" style="4" customWidth="1"/>
    <col min="510" max="510" width="5.7109375" style="4" customWidth="1"/>
    <col min="511" max="511" width="68.7109375" style="4" customWidth="1"/>
    <col min="512" max="512" width="2.7109375" style="4" customWidth="1"/>
    <col min="513" max="513" width="14.7109375" style="4" customWidth="1"/>
    <col min="514" max="514" width="2.7109375" style="4" customWidth="1"/>
    <col min="515" max="515" width="2.42578125" style="4" customWidth="1"/>
    <col min="516" max="516" width="28.7109375" style="4" customWidth="1"/>
    <col min="517" max="761" width="8.85546875" style="4"/>
    <col min="762" max="763" width="2.7109375" style="4" customWidth="1"/>
    <col min="764" max="764" width="7" style="4" customWidth="1"/>
    <col min="765" max="765" width="2.42578125" style="4" customWidth="1"/>
    <col min="766" max="766" width="5.7109375" style="4" customWidth="1"/>
    <col min="767" max="767" width="68.7109375" style="4" customWidth="1"/>
    <col min="768" max="768" width="2.7109375" style="4" customWidth="1"/>
    <col min="769" max="769" width="14.7109375" style="4" customWidth="1"/>
    <col min="770" max="770" width="2.7109375" style="4" customWidth="1"/>
    <col min="771" max="771" width="2.42578125" style="4" customWidth="1"/>
    <col min="772" max="772" width="28.7109375" style="4" customWidth="1"/>
    <col min="773" max="1017" width="8.85546875" style="4"/>
    <col min="1018" max="1019" width="2.7109375" style="4" customWidth="1"/>
    <col min="1020" max="1020" width="7" style="4" customWidth="1"/>
    <col min="1021" max="1021" width="2.42578125" style="4" customWidth="1"/>
    <col min="1022" max="1022" width="5.7109375" style="4" customWidth="1"/>
    <col min="1023" max="1023" width="68.7109375" style="4" customWidth="1"/>
    <col min="1024" max="1024" width="2.7109375" style="4" customWidth="1"/>
    <col min="1025" max="1025" width="14.7109375" style="4" customWidth="1"/>
    <col min="1026" max="1026" width="2.7109375" style="4" customWidth="1"/>
    <col min="1027" max="1027" width="2.42578125" style="4" customWidth="1"/>
    <col min="1028" max="1028" width="28.7109375" style="4" customWidth="1"/>
    <col min="1029" max="1273" width="8.85546875" style="4"/>
    <col min="1274" max="1275" width="2.7109375" style="4" customWidth="1"/>
    <col min="1276" max="1276" width="7" style="4" customWidth="1"/>
    <col min="1277" max="1277" width="2.42578125" style="4" customWidth="1"/>
    <col min="1278" max="1278" width="5.7109375" style="4" customWidth="1"/>
    <col min="1279" max="1279" width="68.7109375" style="4" customWidth="1"/>
    <col min="1280" max="1280" width="2.7109375" style="4" customWidth="1"/>
    <col min="1281" max="1281" width="14.7109375" style="4" customWidth="1"/>
    <col min="1282" max="1282" width="2.7109375" style="4" customWidth="1"/>
    <col min="1283" max="1283" width="2.42578125" style="4" customWidth="1"/>
    <col min="1284" max="1284" width="28.7109375" style="4" customWidth="1"/>
    <col min="1285" max="1529" width="8.85546875" style="4"/>
    <col min="1530" max="1531" width="2.7109375" style="4" customWidth="1"/>
    <col min="1532" max="1532" width="7" style="4" customWidth="1"/>
    <col min="1533" max="1533" width="2.42578125" style="4" customWidth="1"/>
    <col min="1534" max="1534" width="5.7109375" style="4" customWidth="1"/>
    <col min="1535" max="1535" width="68.7109375" style="4" customWidth="1"/>
    <col min="1536" max="1536" width="2.7109375" style="4" customWidth="1"/>
    <col min="1537" max="1537" width="14.7109375" style="4" customWidth="1"/>
    <col min="1538" max="1538" width="2.7109375" style="4" customWidth="1"/>
    <col min="1539" max="1539" width="2.42578125" style="4" customWidth="1"/>
    <col min="1540" max="1540" width="28.7109375" style="4" customWidth="1"/>
    <col min="1541" max="1785" width="8.85546875" style="4"/>
    <col min="1786" max="1787" width="2.7109375" style="4" customWidth="1"/>
    <col min="1788" max="1788" width="7" style="4" customWidth="1"/>
    <col min="1789" max="1789" width="2.42578125" style="4" customWidth="1"/>
    <col min="1790" max="1790" width="5.7109375" style="4" customWidth="1"/>
    <col min="1791" max="1791" width="68.7109375" style="4" customWidth="1"/>
    <col min="1792" max="1792" width="2.7109375" style="4" customWidth="1"/>
    <col min="1793" max="1793" width="14.7109375" style="4" customWidth="1"/>
    <col min="1794" max="1794" width="2.7109375" style="4" customWidth="1"/>
    <col min="1795" max="1795" width="2.42578125" style="4" customWidth="1"/>
    <col min="1796" max="1796" width="28.7109375" style="4" customWidth="1"/>
    <col min="1797" max="2041" width="8.85546875" style="4"/>
    <col min="2042" max="2043" width="2.7109375" style="4" customWidth="1"/>
    <col min="2044" max="2044" width="7" style="4" customWidth="1"/>
    <col min="2045" max="2045" width="2.42578125" style="4" customWidth="1"/>
    <col min="2046" max="2046" width="5.7109375" style="4" customWidth="1"/>
    <col min="2047" max="2047" width="68.7109375" style="4" customWidth="1"/>
    <col min="2048" max="2048" width="2.7109375" style="4" customWidth="1"/>
    <col min="2049" max="2049" width="14.7109375" style="4" customWidth="1"/>
    <col min="2050" max="2050" width="2.7109375" style="4" customWidth="1"/>
    <col min="2051" max="2051" width="2.42578125" style="4" customWidth="1"/>
    <col min="2052" max="2052" width="28.7109375" style="4" customWidth="1"/>
    <col min="2053" max="2297" width="8.85546875" style="4"/>
    <col min="2298" max="2299" width="2.7109375" style="4" customWidth="1"/>
    <col min="2300" max="2300" width="7" style="4" customWidth="1"/>
    <col min="2301" max="2301" width="2.42578125" style="4" customWidth="1"/>
    <col min="2302" max="2302" width="5.7109375" style="4" customWidth="1"/>
    <col min="2303" max="2303" width="68.7109375" style="4" customWidth="1"/>
    <col min="2304" max="2304" width="2.7109375" style="4" customWidth="1"/>
    <col min="2305" max="2305" width="14.7109375" style="4" customWidth="1"/>
    <col min="2306" max="2306" width="2.7109375" style="4" customWidth="1"/>
    <col min="2307" max="2307" width="2.42578125" style="4" customWidth="1"/>
    <col min="2308" max="2308" width="28.7109375" style="4" customWidth="1"/>
    <col min="2309" max="2553" width="8.85546875" style="4"/>
    <col min="2554" max="2555" width="2.7109375" style="4" customWidth="1"/>
    <col min="2556" max="2556" width="7" style="4" customWidth="1"/>
    <col min="2557" max="2557" width="2.42578125" style="4" customWidth="1"/>
    <col min="2558" max="2558" width="5.7109375" style="4" customWidth="1"/>
    <col min="2559" max="2559" width="68.7109375" style="4" customWidth="1"/>
    <col min="2560" max="2560" width="2.7109375" style="4" customWidth="1"/>
    <col min="2561" max="2561" width="14.7109375" style="4" customWidth="1"/>
    <col min="2562" max="2562" width="2.7109375" style="4" customWidth="1"/>
    <col min="2563" max="2563" width="2.42578125" style="4" customWidth="1"/>
    <col min="2564" max="2564" width="28.7109375" style="4" customWidth="1"/>
    <col min="2565" max="2809" width="8.85546875" style="4"/>
    <col min="2810" max="2811" width="2.7109375" style="4" customWidth="1"/>
    <col min="2812" max="2812" width="7" style="4" customWidth="1"/>
    <col min="2813" max="2813" width="2.42578125" style="4" customWidth="1"/>
    <col min="2814" max="2814" width="5.7109375" style="4" customWidth="1"/>
    <col min="2815" max="2815" width="68.7109375" style="4" customWidth="1"/>
    <col min="2816" max="2816" width="2.7109375" style="4" customWidth="1"/>
    <col min="2817" max="2817" width="14.7109375" style="4" customWidth="1"/>
    <col min="2818" max="2818" width="2.7109375" style="4" customWidth="1"/>
    <col min="2819" max="2819" width="2.42578125" style="4" customWidth="1"/>
    <col min="2820" max="2820" width="28.7109375" style="4" customWidth="1"/>
    <col min="2821" max="3065" width="8.85546875" style="4"/>
    <col min="3066" max="3067" width="2.7109375" style="4" customWidth="1"/>
    <col min="3068" max="3068" width="7" style="4" customWidth="1"/>
    <col min="3069" max="3069" width="2.42578125" style="4" customWidth="1"/>
    <col min="3070" max="3070" width="5.7109375" style="4" customWidth="1"/>
    <col min="3071" max="3071" width="68.7109375" style="4" customWidth="1"/>
    <col min="3072" max="3072" width="2.7109375" style="4" customWidth="1"/>
    <col min="3073" max="3073" width="14.7109375" style="4" customWidth="1"/>
    <col min="3074" max="3074" width="2.7109375" style="4" customWidth="1"/>
    <col min="3075" max="3075" width="2.42578125" style="4" customWidth="1"/>
    <col min="3076" max="3076" width="28.7109375" style="4" customWidth="1"/>
    <col min="3077" max="3321" width="8.85546875" style="4"/>
    <col min="3322" max="3323" width="2.7109375" style="4" customWidth="1"/>
    <col min="3324" max="3324" width="7" style="4" customWidth="1"/>
    <col min="3325" max="3325" width="2.42578125" style="4" customWidth="1"/>
    <col min="3326" max="3326" width="5.7109375" style="4" customWidth="1"/>
    <col min="3327" max="3327" width="68.7109375" style="4" customWidth="1"/>
    <col min="3328" max="3328" width="2.7109375" style="4" customWidth="1"/>
    <col min="3329" max="3329" width="14.7109375" style="4" customWidth="1"/>
    <col min="3330" max="3330" width="2.7109375" style="4" customWidth="1"/>
    <col min="3331" max="3331" width="2.42578125" style="4" customWidth="1"/>
    <col min="3332" max="3332" width="28.7109375" style="4" customWidth="1"/>
    <col min="3333" max="3577" width="8.85546875" style="4"/>
    <col min="3578" max="3579" width="2.7109375" style="4" customWidth="1"/>
    <col min="3580" max="3580" width="7" style="4" customWidth="1"/>
    <col min="3581" max="3581" width="2.42578125" style="4" customWidth="1"/>
    <col min="3582" max="3582" width="5.7109375" style="4" customWidth="1"/>
    <col min="3583" max="3583" width="68.7109375" style="4" customWidth="1"/>
    <col min="3584" max="3584" width="2.7109375" style="4" customWidth="1"/>
    <col min="3585" max="3585" width="14.7109375" style="4" customWidth="1"/>
    <col min="3586" max="3586" width="2.7109375" style="4" customWidth="1"/>
    <col min="3587" max="3587" width="2.42578125" style="4" customWidth="1"/>
    <col min="3588" max="3588" width="28.7109375" style="4" customWidth="1"/>
    <col min="3589" max="3833" width="8.85546875" style="4"/>
    <col min="3834" max="3835" width="2.7109375" style="4" customWidth="1"/>
    <col min="3836" max="3836" width="7" style="4" customWidth="1"/>
    <col min="3837" max="3837" width="2.42578125" style="4" customWidth="1"/>
    <col min="3838" max="3838" width="5.7109375" style="4" customWidth="1"/>
    <col min="3839" max="3839" width="68.7109375" style="4" customWidth="1"/>
    <col min="3840" max="3840" width="2.7109375" style="4" customWidth="1"/>
    <col min="3841" max="3841" width="14.7109375" style="4" customWidth="1"/>
    <col min="3842" max="3842" width="2.7109375" style="4" customWidth="1"/>
    <col min="3843" max="3843" width="2.42578125" style="4" customWidth="1"/>
    <col min="3844" max="3844" width="28.7109375" style="4" customWidth="1"/>
    <col min="3845" max="4089" width="8.85546875" style="4"/>
    <col min="4090" max="4091" width="2.7109375" style="4" customWidth="1"/>
    <col min="4092" max="4092" width="7" style="4" customWidth="1"/>
    <col min="4093" max="4093" width="2.42578125" style="4" customWidth="1"/>
    <col min="4094" max="4094" width="5.7109375" style="4" customWidth="1"/>
    <col min="4095" max="4095" width="68.7109375" style="4" customWidth="1"/>
    <col min="4096" max="4096" width="2.7109375" style="4" customWidth="1"/>
    <col min="4097" max="4097" width="14.7109375" style="4" customWidth="1"/>
    <col min="4098" max="4098" width="2.7109375" style="4" customWidth="1"/>
    <col min="4099" max="4099" width="2.42578125" style="4" customWidth="1"/>
    <col min="4100" max="4100" width="28.7109375" style="4" customWidth="1"/>
    <col min="4101" max="4345" width="8.85546875" style="4"/>
    <col min="4346" max="4347" width="2.7109375" style="4" customWidth="1"/>
    <col min="4348" max="4348" width="7" style="4" customWidth="1"/>
    <col min="4349" max="4349" width="2.42578125" style="4" customWidth="1"/>
    <col min="4350" max="4350" width="5.7109375" style="4" customWidth="1"/>
    <col min="4351" max="4351" width="68.7109375" style="4" customWidth="1"/>
    <col min="4352" max="4352" width="2.7109375" style="4" customWidth="1"/>
    <col min="4353" max="4353" width="14.7109375" style="4" customWidth="1"/>
    <col min="4354" max="4354" width="2.7109375" style="4" customWidth="1"/>
    <col min="4355" max="4355" width="2.42578125" style="4" customWidth="1"/>
    <col min="4356" max="4356" width="28.7109375" style="4" customWidth="1"/>
    <col min="4357" max="4601" width="8.85546875" style="4"/>
    <col min="4602" max="4603" width="2.7109375" style="4" customWidth="1"/>
    <col min="4604" max="4604" width="7" style="4" customWidth="1"/>
    <col min="4605" max="4605" width="2.42578125" style="4" customWidth="1"/>
    <col min="4606" max="4606" width="5.7109375" style="4" customWidth="1"/>
    <col min="4607" max="4607" width="68.7109375" style="4" customWidth="1"/>
    <col min="4608" max="4608" width="2.7109375" style="4" customWidth="1"/>
    <col min="4609" max="4609" width="14.7109375" style="4" customWidth="1"/>
    <col min="4610" max="4610" width="2.7109375" style="4" customWidth="1"/>
    <col min="4611" max="4611" width="2.42578125" style="4" customWidth="1"/>
    <col min="4612" max="4612" width="28.7109375" style="4" customWidth="1"/>
    <col min="4613" max="4857" width="8.85546875" style="4"/>
    <col min="4858" max="4859" width="2.7109375" style="4" customWidth="1"/>
    <col min="4860" max="4860" width="7" style="4" customWidth="1"/>
    <col min="4861" max="4861" width="2.42578125" style="4" customWidth="1"/>
    <col min="4862" max="4862" width="5.7109375" style="4" customWidth="1"/>
    <col min="4863" max="4863" width="68.7109375" style="4" customWidth="1"/>
    <col min="4864" max="4864" width="2.7109375" style="4" customWidth="1"/>
    <col min="4865" max="4865" width="14.7109375" style="4" customWidth="1"/>
    <col min="4866" max="4866" width="2.7109375" style="4" customWidth="1"/>
    <col min="4867" max="4867" width="2.42578125" style="4" customWidth="1"/>
    <col min="4868" max="4868" width="28.7109375" style="4" customWidth="1"/>
    <col min="4869" max="5113" width="8.85546875" style="4"/>
    <col min="5114" max="5115" width="2.7109375" style="4" customWidth="1"/>
    <col min="5116" max="5116" width="7" style="4" customWidth="1"/>
    <col min="5117" max="5117" width="2.42578125" style="4" customWidth="1"/>
    <col min="5118" max="5118" width="5.7109375" style="4" customWidth="1"/>
    <col min="5119" max="5119" width="68.7109375" style="4" customWidth="1"/>
    <col min="5120" max="5120" width="2.7109375" style="4" customWidth="1"/>
    <col min="5121" max="5121" width="14.7109375" style="4" customWidth="1"/>
    <col min="5122" max="5122" width="2.7109375" style="4" customWidth="1"/>
    <col min="5123" max="5123" width="2.42578125" style="4" customWidth="1"/>
    <col min="5124" max="5124" width="28.7109375" style="4" customWidth="1"/>
    <col min="5125" max="5369" width="8.85546875" style="4"/>
    <col min="5370" max="5371" width="2.7109375" style="4" customWidth="1"/>
    <col min="5372" max="5372" width="7" style="4" customWidth="1"/>
    <col min="5373" max="5373" width="2.42578125" style="4" customWidth="1"/>
    <col min="5374" max="5374" width="5.7109375" style="4" customWidth="1"/>
    <col min="5375" max="5375" width="68.7109375" style="4" customWidth="1"/>
    <col min="5376" max="5376" width="2.7109375" style="4" customWidth="1"/>
    <col min="5377" max="5377" width="14.7109375" style="4" customWidth="1"/>
    <col min="5378" max="5378" width="2.7109375" style="4" customWidth="1"/>
    <col min="5379" max="5379" width="2.42578125" style="4" customWidth="1"/>
    <col min="5380" max="5380" width="28.7109375" style="4" customWidth="1"/>
    <col min="5381" max="5625" width="8.85546875" style="4"/>
    <col min="5626" max="5627" width="2.7109375" style="4" customWidth="1"/>
    <col min="5628" max="5628" width="7" style="4" customWidth="1"/>
    <col min="5629" max="5629" width="2.42578125" style="4" customWidth="1"/>
    <col min="5630" max="5630" width="5.7109375" style="4" customWidth="1"/>
    <col min="5631" max="5631" width="68.7109375" style="4" customWidth="1"/>
    <col min="5632" max="5632" width="2.7109375" style="4" customWidth="1"/>
    <col min="5633" max="5633" width="14.7109375" style="4" customWidth="1"/>
    <col min="5634" max="5634" width="2.7109375" style="4" customWidth="1"/>
    <col min="5635" max="5635" width="2.42578125" style="4" customWidth="1"/>
    <col min="5636" max="5636" width="28.7109375" style="4" customWidth="1"/>
    <col min="5637" max="5881" width="8.85546875" style="4"/>
    <col min="5882" max="5883" width="2.7109375" style="4" customWidth="1"/>
    <col min="5884" max="5884" width="7" style="4" customWidth="1"/>
    <col min="5885" max="5885" width="2.42578125" style="4" customWidth="1"/>
    <col min="5886" max="5886" width="5.7109375" style="4" customWidth="1"/>
    <col min="5887" max="5887" width="68.7109375" style="4" customWidth="1"/>
    <col min="5888" max="5888" width="2.7109375" style="4" customWidth="1"/>
    <col min="5889" max="5889" width="14.7109375" style="4" customWidth="1"/>
    <col min="5890" max="5890" width="2.7109375" style="4" customWidth="1"/>
    <col min="5891" max="5891" width="2.42578125" style="4" customWidth="1"/>
    <col min="5892" max="5892" width="28.7109375" style="4" customWidth="1"/>
    <col min="5893" max="6137" width="8.85546875" style="4"/>
    <col min="6138" max="6139" width="2.7109375" style="4" customWidth="1"/>
    <col min="6140" max="6140" width="7" style="4" customWidth="1"/>
    <col min="6141" max="6141" width="2.42578125" style="4" customWidth="1"/>
    <col min="6142" max="6142" width="5.7109375" style="4" customWidth="1"/>
    <col min="6143" max="6143" width="68.7109375" style="4" customWidth="1"/>
    <col min="6144" max="6144" width="2.7109375" style="4" customWidth="1"/>
    <col min="6145" max="6145" width="14.7109375" style="4" customWidth="1"/>
    <col min="6146" max="6146" width="2.7109375" style="4" customWidth="1"/>
    <col min="6147" max="6147" width="2.42578125" style="4" customWidth="1"/>
    <col min="6148" max="6148" width="28.7109375" style="4" customWidth="1"/>
    <col min="6149" max="6393" width="8.85546875" style="4"/>
    <col min="6394" max="6395" width="2.7109375" style="4" customWidth="1"/>
    <col min="6396" max="6396" width="7" style="4" customWidth="1"/>
    <col min="6397" max="6397" width="2.42578125" style="4" customWidth="1"/>
    <col min="6398" max="6398" width="5.7109375" style="4" customWidth="1"/>
    <col min="6399" max="6399" width="68.7109375" style="4" customWidth="1"/>
    <col min="6400" max="6400" width="2.7109375" style="4" customWidth="1"/>
    <col min="6401" max="6401" width="14.7109375" style="4" customWidth="1"/>
    <col min="6402" max="6402" width="2.7109375" style="4" customWidth="1"/>
    <col min="6403" max="6403" width="2.42578125" style="4" customWidth="1"/>
    <col min="6404" max="6404" width="28.7109375" style="4" customWidth="1"/>
    <col min="6405" max="6649" width="8.85546875" style="4"/>
    <col min="6650" max="6651" width="2.7109375" style="4" customWidth="1"/>
    <col min="6652" max="6652" width="7" style="4" customWidth="1"/>
    <col min="6653" max="6653" width="2.42578125" style="4" customWidth="1"/>
    <col min="6654" max="6654" width="5.7109375" style="4" customWidth="1"/>
    <col min="6655" max="6655" width="68.7109375" style="4" customWidth="1"/>
    <col min="6656" max="6656" width="2.7109375" style="4" customWidth="1"/>
    <col min="6657" max="6657" width="14.7109375" style="4" customWidth="1"/>
    <col min="6658" max="6658" width="2.7109375" style="4" customWidth="1"/>
    <col min="6659" max="6659" width="2.42578125" style="4" customWidth="1"/>
    <col min="6660" max="6660" width="28.7109375" style="4" customWidth="1"/>
    <col min="6661" max="6905" width="8.85546875" style="4"/>
    <col min="6906" max="6907" width="2.7109375" style="4" customWidth="1"/>
    <col min="6908" max="6908" width="7" style="4" customWidth="1"/>
    <col min="6909" max="6909" width="2.42578125" style="4" customWidth="1"/>
    <col min="6910" max="6910" width="5.7109375" style="4" customWidth="1"/>
    <col min="6911" max="6911" width="68.7109375" style="4" customWidth="1"/>
    <col min="6912" max="6912" width="2.7109375" style="4" customWidth="1"/>
    <col min="6913" max="6913" width="14.7109375" style="4" customWidth="1"/>
    <col min="6914" max="6914" width="2.7109375" style="4" customWidth="1"/>
    <col min="6915" max="6915" width="2.42578125" style="4" customWidth="1"/>
    <col min="6916" max="6916" width="28.7109375" style="4" customWidth="1"/>
    <col min="6917" max="7161" width="8.85546875" style="4"/>
    <col min="7162" max="7163" width="2.7109375" style="4" customWidth="1"/>
    <col min="7164" max="7164" width="7" style="4" customWidth="1"/>
    <col min="7165" max="7165" width="2.42578125" style="4" customWidth="1"/>
    <col min="7166" max="7166" width="5.7109375" style="4" customWidth="1"/>
    <col min="7167" max="7167" width="68.7109375" style="4" customWidth="1"/>
    <col min="7168" max="7168" width="2.7109375" style="4" customWidth="1"/>
    <col min="7169" max="7169" width="14.7109375" style="4" customWidth="1"/>
    <col min="7170" max="7170" width="2.7109375" style="4" customWidth="1"/>
    <col min="7171" max="7171" width="2.42578125" style="4" customWidth="1"/>
    <col min="7172" max="7172" width="28.7109375" style="4" customWidth="1"/>
    <col min="7173" max="7417" width="8.85546875" style="4"/>
    <col min="7418" max="7419" width="2.7109375" style="4" customWidth="1"/>
    <col min="7420" max="7420" width="7" style="4" customWidth="1"/>
    <col min="7421" max="7421" width="2.42578125" style="4" customWidth="1"/>
    <col min="7422" max="7422" width="5.7109375" style="4" customWidth="1"/>
    <col min="7423" max="7423" width="68.7109375" style="4" customWidth="1"/>
    <col min="7424" max="7424" width="2.7109375" style="4" customWidth="1"/>
    <col min="7425" max="7425" width="14.7109375" style="4" customWidth="1"/>
    <col min="7426" max="7426" width="2.7109375" style="4" customWidth="1"/>
    <col min="7427" max="7427" width="2.42578125" style="4" customWidth="1"/>
    <col min="7428" max="7428" width="28.7109375" style="4" customWidth="1"/>
    <col min="7429" max="7673" width="8.85546875" style="4"/>
    <col min="7674" max="7675" width="2.7109375" style="4" customWidth="1"/>
    <col min="7676" max="7676" width="7" style="4" customWidth="1"/>
    <col min="7677" max="7677" width="2.42578125" style="4" customWidth="1"/>
    <col min="7678" max="7678" width="5.7109375" style="4" customWidth="1"/>
    <col min="7679" max="7679" width="68.7109375" style="4" customWidth="1"/>
    <col min="7680" max="7680" width="2.7109375" style="4" customWidth="1"/>
    <col min="7681" max="7681" width="14.7109375" style="4" customWidth="1"/>
    <col min="7682" max="7682" width="2.7109375" style="4" customWidth="1"/>
    <col min="7683" max="7683" width="2.42578125" style="4" customWidth="1"/>
    <col min="7684" max="7684" width="28.7109375" style="4" customWidth="1"/>
    <col min="7685" max="7929" width="8.85546875" style="4"/>
    <col min="7930" max="7931" width="2.7109375" style="4" customWidth="1"/>
    <col min="7932" max="7932" width="7" style="4" customWidth="1"/>
    <col min="7933" max="7933" width="2.42578125" style="4" customWidth="1"/>
    <col min="7934" max="7934" width="5.7109375" style="4" customWidth="1"/>
    <col min="7935" max="7935" width="68.7109375" style="4" customWidth="1"/>
    <col min="7936" max="7936" width="2.7109375" style="4" customWidth="1"/>
    <col min="7937" max="7937" width="14.7109375" style="4" customWidth="1"/>
    <col min="7938" max="7938" width="2.7109375" style="4" customWidth="1"/>
    <col min="7939" max="7939" width="2.42578125" style="4" customWidth="1"/>
    <col min="7940" max="7940" width="28.7109375" style="4" customWidth="1"/>
    <col min="7941" max="8185" width="8.85546875" style="4"/>
    <col min="8186" max="8187" width="2.7109375" style="4" customWidth="1"/>
    <col min="8188" max="8188" width="7" style="4" customWidth="1"/>
    <col min="8189" max="8189" width="2.42578125" style="4" customWidth="1"/>
    <col min="8190" max="8190" width="5.7109375" style="4" customWidth="1"/>
    <col min="8191" max="8191" width="68.7109375" style="4" customWidth="1"/>
    <col min="8192" max="8192" width="2.7109375" style="4" customWidth="1"/>
    <col min="8193" max="8193" width="14.7109375" style="4" customWidth="1"/>
    <col min="8194" max="8194" width="2.7109375" style="4" customWidth="1"/>
    <col min="8195" max="8195" width="2.42578125" style="4" customWidth="1"/>
    <col min="8196" max="8196" width="28.7109375" style="4" customWidth="1"/>
    <col min="8197" max="8441" width="8.85546875" style="4"/>
    <col min="8442" max="8443" width="2.7109375" style="4" customWidth="1"/>
    <col min="8444" max="8444" width="7" style="4" customWidth="1"/>
    <col min="8445" max="8445" width="2.42578125" style="4" customWidth="1"/>
    <col min="8446" max="8446" width="5.7109375" style="4" customWidth="1"/>
    <col min="8447" max="8447" width="68.7109375" style="4" customWidth="1"/>
    <col min="8448" max="8448" width="2.7109375" style="4" customWidth="1"/>
    <col min="8449" max="8449" width="14.7109375" style="4" customWidth="1"/>
    <col min="8450" max="8450" width="2.7109375" style="4" customWidth="1"/>
    <col min="8451" max="8451" width="2.42578125" style="4" customWidth="1"/>
    <col min="8452" max="8452" width="28.7109375" style="4" customWidth="1"/>
    <col min="8453" max="8697" width="8.85546875" style="4"/>
    <col min="8698" max="8699" width="2.7109375" style="4" customWidth="1"/>
    <col min="8700" max="8700" width="7" style="4" customWidth="1"/>
    <col min="8701" max="8701" width="2.42578125" style="4" customWidth="1"/>
    <col min="8702" max="8702" width="5.7109375" style="4" customWidth="1"/>
    <col min="8703" max="8703" width="68.7109375" style="4" customWidth="1"/>
    <col min="8704" max="8704" width="2.7109375" style="4" customWidth="1"/>
    <col min="8705" max="8705" width="14.7109375" style="4" customWidth="1"/>
    <col min="8706" max="8706" width="2.7109375" style="4" customWidth="1"/>
    <col min="8707" max="8707" width="2.42578125" style="4" customWidth="1"/>
    <col min="8708" max="8708" width="28.7109375" style="4" customWidth="1"/>
    <col min="8709" max="8953" width="8.85546875" style="4"/>
    <col min="8954" max="8955" width="2.7109375" style="4" customWidth="1"/>
    <col min="8956" max="8956" width="7" style="4" customWidth="1"/>
    <col min="8957" max="8957" width="2.42578125" style="4" customWidth="1"/>
    <col min="8958" max="8958" width="5.7109375" style="4" customWidth="1"/>
    <col min="8959" max="8959" width="68.7109375" style="4" customWidth="1"/>
    <col min="8960" max="8960" width="2.7109375" style="4" customWidth="1"/>
    <col min="8961" max="8961" width="14.7109375" style="4" customWidth="1"/>
    <col min="8962" max="8962" width="2.7109375" style="4" customWidth="1"/>
    <col min="8963" max="8963" width="2.42578125" style="4" customWidth="1"/>
    <col min="8964" max="8964" width="28.7109375" style="4" customWidth="1"/>
    <col min="8965" max="9209" width="8.85546875" style="4"/>
    <col min="9210" max="9211" width="2.7109375" style="4" customWidth="1"/>
    <col min="9212" max="9212" width="7" style="4" customWidth="1"/>
    <col min="9213" max="9213" width="2.42578125" style="4" customWidth="1"/>
    <col min="9214" max="9214" width="5.7109375" style="4" customWidth="1"/>
    <col min="9215" max="9215" width="68.7109375" style="4" customWidth="1"/>
    <col min="9216" max="9216" width="2.7109375" style="4" customWidth="1"/>
    <col min="9217" max="9217" width="14.7109375" style="4" customWidth="1"/>
    <col min="9218" max="9218" width="2.7109375" style="4" customWidth="1"/>
    <col min="9219" max="9219" width="2.42578125" style="4" customWidth="1"/>
    <col min="9220" max="9220" width="28.7109375" style="4" customWidth="1"/>
    <col min="9221" max="9465" width="8.85546875" style="4"/>
    <col min="9466" max="9467" width="2.7109375" style="4" customWidth="1"/>
    <col min="9468" max="9468" width="7" style="4" customWidth="1"/>
    <col min="9469" max="9469" width="2.42578125" style="4" customWidth="1"/>
    <col min="9470" max="9470" width="5.7109375" style="4" customWidth="1"/>
    <col min="9471" max="9471" width="68.7109375" style="4" customWidth="1"/>
    <col min="9472" max="9472" width="2.7109375" style="4" customWidth="1"/>
    <col min="9473" max="9473" width="14.7109375" style="4" customWidth="1"/>
    <col min="9474" max="9474" width="2.7109375" style="4" customWidth="1"/>
    <col min="9475" max="9475" width="2.42578125" style="4" customWidth="1"/>
    <col min="9476" max="9476" width="28.7109375" style="4" customWidth="1"/>
    <col min="9477" max="9721" width="8.85546875" style="4"/>
    <col min="9722" max="9723" width="2.7109375" style="4" customWidth="1"/>
    <col min="9724" max="9724" width="7" style="4" customWidth="1"/>
    <col min="9725" max="9725" width="2.42578125" style="4" customWidth="1"/>
    <col min="9726" max="9726" width="5.7109375" style="4" customWidth="1"/>
    <col min="9727" max="9727" width="68.7109375" style="4" customWidth="1"/>
    <col min="9728" max="9728" width="2.7109375" style="4" customWidth="1"/>
    <col min="9729" max="9729" width="14.7109375" style="4" customWidth="1"/>
    <col min="9730" max="9730" width="2.7109375" style="4" customWidth="1"/>
    <col min="9731" max="9731" width="2.42578125" style="4" customWidth="1"/>
    <col min="9732" max="9732" width="28.7109375" style="4" customWidth="1"/>
    <col min="9733" max="9977" width="8.85546875" style="4"/>
    <col min="9978" max="9979" width="2.7109375" style="4" customWidth="1"/>
    <col min="9980" max="9980" width="7" style="4" customWidth="1"/>
    <col min="9981" max="9981" width="2.42578125" style="4" customWidth="1"/>
    <col min="9982" max="9982" width="5.7109375" style="4" customWidth="1"/>
    <col min="9983" max="9983" width="68.7109375" style="4" customWidth="1"/>
    <col min="9984" max="9984" width="2.7109375" style="4" customWidth="1"/>
    <col min="9985" max="9985" width="14.7109375" style="4" customWidth="1"/>
    <col min="9986" max="9986" width="2.7109375" style="4" customWidth="1"/>
    <col min="9987" max="9987" width="2.42578125" style="4" customWidth="1"/>
    <col min="9988" max="9988" width="28.7109375" style="4" customWidth="1"/>
    <col min="9989" max="10233" width="8.85546875" style="4"/>
    <col min="10234" max="10235" width="2.7109375" style="4" customWidth="1"/>
    <col min="10236" max="10236" width="7" style="4" customWidth="1"/>
    <col min="10237" max="10237" width="2.42578125" style="4" customWidth="1"/>
    <col min="10238" max="10238" width="5.7109375" style="4" customWidth="1"/>
    <col min="10239" max="10239" width="68.7109375" style="4" customWidth="1"/>
    <col min="10240" max="10240" width="2.7109375" style="4" customWidth="1"/>
    <col min="10241" max="10241" width="14.7109375" style="4" customWidth="1"/>
    <col min="10242" max="10242" width="2.7109375" style="4" customWidth="1"/>
    <col min="10243" max="10243" width="2.42578125" style="4" customWidth="1"/>
    <col min="10244" max="10244" width="28.7109375" style="4" customWidth="1"/>
    <col min="10245" max="10489" width="8.85546875" style="4"/>
    <col min="10490" max="10491" width="2.7109375" style="4" customWidth="1"/>
    <col min="10492" max="10492" width="7" style="4" customWidth="1"/>
    <col min="10493" max="10493" width="2.42578125" style="4" customWidth="1"/>
    <col min="10494" max="10494" width="5.7109375" style="4" customWidth="1"/>
    <col min="10495" max="10495" width="68.7109375" style="4" customWidth="1"/>
    <col min="10496" max="10496" width="2.7109375" style="4" customWidth="1"/>
    <col min="10497" max="10497" width="14.7109375" style="4" customWidth="1"/>
    <col min="10498" max="10498" width="2.7109375" style="4" customWidth="1"/>
    <col min="10499" max="10499" width="2.42578125" style="4" customWidth="1"/>
    <col min="10500" max="10500" width="28.7109375" style="4" customWidth="1"/>
    <col min="10501" max="10745" width="8.85546875" style="4"/>
    <col min="10746" max="10747" width="2.7109375" style="4" customWidth="1"/>
    <col min="10748" max="10748" width="7" style="4" customWidth="1"/>
    <col min="10749" max="10749" width="2.42578125" style="4" customWidth="1"/>
    <col min="10750" max="10750" width="5.7109375" style="4" customWidth="1"/>
    <col min="10751" max="10751" width="68.7109375" style="4" customWidth="1"/>
    <col min="10752" max="10752" width="2.7109375" style="4" customWidth="1"/>
    <col min="10753" max="10753" width="14.7109375" style="4" customWidth="1"/>
    <col min="10754" max="10754" width="2.7109375" style="4" customWidth="1"/>
    <col min="10755" max="10755" width="2.42578125" style="4" customWidth="1"/>
    <col min="10756" max="10756" width="28.7109375" style="4" customWidth="1"/>
    <col min="10757" max="11001" width="8.85546875" style="4"/>
    <col min="11002" max="11003" width="2.7109375" style="4" customWidth="1"/>
    <col min="11004" max="11004" width="7" style="4" customWidth="1"/>
    <col min="11005" max="11005" width="2.42578125" style="4" customWidth="1"/>
    <col min="11006" max="11006" width="5.7109375" style="4" customWidth="1"/>
    <col min="11007" max="11007" width="68.7109375" style="4" customWidth="1"/>
    <col min="11008" max="11008" width="2.7109375" style="4" customWidth="1"/>
    <col min="11009" max="11009" width="14.7109375" style="4" customWidth="1"/>
    <col min="11010" max="11010" width="2.7109375" style="4" customWidth="1"/>
    <col min="11011" max="11011" width="2.42578125" style="4" customWidth="1"/>
    <col min="11012" max="11012" width="28.7109375" style="4" customWidth="1"/>
    <col min="11013" max="11257" width="8.85546875" style="4"/>
    <col min="11258" max="11259" width="2.7109375" style="4" customWidth="1"/>
    <col min="11260" max="11260" width="7" style="4" customWidth="1"/>
    <col min="11261" max="11261" width="2.42578125" style="4" customWidth="1"/>
    <col min="11262" max="11262" width="5.7109375" style="4" customWidth="1"/>
    <col min="11263" max="11263" width="68.7109375" style="4" customWidth="1"/>
    <col min="11264" max="11264" width="2.7109375" style="4" customWidth="1"/>
    <col min="11265" max="11265" width="14.7109375" style="4" customWidth="1"/>
    <col min="11266" max="11266" width="2.7109375" style="4" customWidth="1"/>
    <col min="11267" max="11267" width="2.42578125" style="4" customWidth="1"/>
    <col min="11268" max="11268" width="28.7109375" style="4" customWidth="1"/>
    <col min="11269" max="11513" width="8.85546875" style="4"/>
    <col min="11514" max="11515" width="2.7109375" style="4" customWidth="1"/>
    <col min="11516" max="11516" width="7" style="4" customWidth="1"/>
    <col min="11517" max="11517" width="2.42578125" style="4" customWidth="1"/>
    <col min="11518" max="11518" width="5.7109375" style="4" customWidth="1"/>
    <col min="11519" max="11519" width="68.7109375" style="4" customWidth="1"/>
    <col min="11520" max="11520" width="2.7109375" style="4" customWidth="1"/>
    <col min="11521" max="11521" width="14.7109375" style="4" customWidth="1"/>
    <col min="11522" max="11522" width="2.7109375" style="4" customWidth="1"/>
    <col min="11523" max="11523" width="2.42578125" style="4" customWidth="1"/>
    <col min="11524" max="11524" width="28.7109375" style="4" customWidth="1"/>
    <col min="11525" max="11769" width="8.85546875" style="4"/>
    <col min="11770" max="11771" width="2.7109375" style="4" customWidth="1"/>
    <col min="11772" max="11772" width="7" style="4" customWidth="1"/>
    <col min="11773" max="11773" width="2.42578125" style="4" customWidth="1"/>
    <col min="11774" max="11774" width="5.7109375" style="4" customWidth="1"/>
    <col min="11775" max="11775" width="68.7109375" style="4" customWidth="1"/>
    <col min="11776" max="11776" width="2.7109375" style="4" customWidth="1"/>
    <col min="11777" max="11777" width="14.7109375" style="4" customWidth="1"/>
    <col min="11778" max="11778" width="2.7109375" style="4" customWidth="1"/>
    <col min="11779" max="11779" width="2.42578125" style="4" customWidth="1"/>
    <col min="11780" max="11780" width="28.7109375" style="4" customWidth="1"/>
    <col min="11781" max="12025" width="8.85546875" style="4"/>
    <col min="12026" max="12027" width="2.7109375" style="4" customWidth="1"/>
    <col min="12028" max="12028" width="7" style="4" customWidth="1"/>
    <col min="12029" max="12029" width="2.42578125" style="4" customWidth="1"/>
    <col min="12030" max="12030" width="5.7109375" style="4" customWidth="1"/>
    <col min="12031" max="12031" width="68.7109375" style="4" customWidth="1"/>
    <col min="12032" max="12032" width="2.7109375" style="4" customWidth="1"/>
    <col min="12033" max="12033" width="14.7109375" style="4" customWidth="1"/>
    <col min="12034" max="12034" width="2.7109375" style="4" customWidth="1"/>
    <col min="12035" max="12035" width="2.42578125" style="4" customWidth="1"/>
    <col min="12036" max="12036" width="28.7109375" style="4" customWidth="1"/>
    <col min="12037" max="12281" width="8.85546875" style="4"/>
    <col min="12282" max="12283" width="2.7109375" style="4" customWidth="1"/>
    <col min="12284" max="12284" width="7" style="4" customWidth="1"/>
    <col min="12285" max="12285" width="2.42578125" style="4" customWidth="1"/>
    <col min="12286" max="12286" width="5.7109375" style="4" customWidth="1"/>
    <col min="12287" max="12287" width="68.7109375" style="4" customWidth="1"/>
    <col min="12288" max="12288" width="2.7109375" style="4" customWidth="1"/>
    <col min="12289" max="12289" width="14.7109375" style="4" customWidth="1"/>
    <col min="12290" max="12290" width="2.7109375" style="4" customWidth="1"/>
    <col min="12291" max="12291" width="2.42578125" style="4" customWidth="1"/>
    <col min="12292" max="12292" width="28.7109375" style="4" customWidth="1"/>
    <col min="12293" max="12537" width="8.85546875" style="4"/>
    <col min="12538" max="12539" width="2.7109375" style="4" customWidth="1"/>
    <col min="12540" max="12540" width="7" style="4" customWidth="1"/>
    <col min="12541" max="12541" width="2.42578125" style="4" customWidth="1"/>
    <col min="12542" max="12542" width="5.7109375" style="4" customWidth="1"/>
    <col min="12543" max="12543" width="68.7109375" style="4" customWidth="1"/>
    <col min="12544" max="12544" width="2.7109375" style="4" customWidth="1"/>
    <col min="12545" max="12545" width="14.7109375" style="4" customWidth="1"/>
    <col min="12546" max="12546" width="2.7109375" style="4" customWidth="1"/>
    <col min="12547" max="12547" width="2.42578125" style="4" customWidth="1"/>
    <col min="12548" max="12548" width="28.7109375" style="4" customWidth="1"/>
    <col min="12549" max="12793" width="8.85546875" style="4"/>
    <col min="12794" max="12795" width="2.7109375" style="4" customWidth="1"/>
    <col min="12796" max="12796" width="7" style="4" customWidth="1"/>
    <col min="12797" max="12797" width="2.42578125" style="4" customWidth="1"/>
    <col min="12798" max="12798" width="5.7109375" style="4" customWidth="1"/>
    <col min="12799" max="12799" width="68.7109375" style="4" customWidth="1"/>
    <col min="12800" max="12800" width="2.7109375" style="4" customWidth="1"/>
    <col min="12801" max="12801" width="14.7109375" style="4" customWidth="1"/>
    <col min="12802" max="12802" width="2.7109375" style="4" customWidth="1"/>
    <col min="12803" max="12803" width="2.42578125" style="4" customWidth="1"/>
    <col min="12804" max="12804" width="28.7109375" style="4" customWidth="1"/>
    <col min="12805" max="13049" width="8.85546875" style="4"/>
    <col min="13050" max="13051" width="2.7109375" style="4" customWidth="1"/>
    <col min="13052" max="13052" width="7" style="4" customWidth="1"/>
    <col min="13053" max="13053" width="2.42578125" style="4" customWidth="1"/>
    <col min="13054" max="13054" width="5.7109375" style="4" customWidth="1"/>
    <col min="13055" max="13055" width="68.7109375" style="4" customWidth="1"/>
    <col min="13056" max="13056" width="2.7109375" style="4" customWidth="1"/>
    <col min="13057" max="13057" width="14.7109375" style="4" customWidth="1"/>
    <col min="13058" max="13058" width="2.7109375" style="4" customWidth="1"/>
    <col min="13059" max="13059" width="2.42578125" style="4" customWidth="1"/>
    <col min="13060" max="13060" width="28.7109375" style="4" customWidth="1"/>
    <col min="13061" max="13305" width="8.85546875" style="4"/>
    <col min="13306" max="13307" width="2.7109375" style="4" customWidth="1"/>
    <col min="13308" max="13308" width="7" style="4" customWidth="1"/>
    <col min="13309" max="13309" width="2.42578125" style="4" customWidth="1"/>
    <col min="13310" max="13310" width="5.7109375" style="4" customWidth="1"/>
    <col min="13311" max="13311" width="68.7109375" style="4" customWidth="1"/>
    <col min="13312" max="13312" width="2.7109375" style="4" customWidth="1"/>
    <col min="13313" max="13313" width="14.7109375" style="4" customWidth="1"/>
    <col min="13314" max="13314" width="2.7109375" style="4" customWidth="1"/>
    <col min="13315" max="13315" width="2.42578125" style="4" customWidth="1"/>
    <col min="13316" max="13316" width="28.7109375" style="4" customWidth="1"/>
    <col min="13317" max="13561" width="8.85546875" style="4"/>
    <col min="13562" max="13563" width="2.7109375" style="4" customWidth="1"/>
    <col min="13564" max="13564" width="7" style="4" customWidth="1"/>
    <col min="13565" max="13565" width="2.42578125" style="4" customWidth="1"/>
    <col min="13566" max="13566" width="5.7109375" style="4" customWidth="1"/>
    <col min="13567" max="13567" width="68.7109375" style="4" customWidth="1"/>
    <col min="13568" max="13568" width="2.7109375" style="4" customWidth="1"/>
    <col min="13569" max="13569" width="14.7109375" style="4" customWidth="1"/>
    <col min="13570" max="13570" width="2.7109375" style="4" customWidth="1"/>
    <col min="13571" max="13571" width="2.42578125" style="4" customWidth="1"/>
    <col min="13572" max="13572" width="28.7109375" style="4" customWidth="1"/>
    <col min="13573" max="13817" width="8.85546875" style="4"/>
    <col min="13818" max="13819" width="2.7109375" style="4" customWidth="1"/>
    <col min="13820" max="13820" width="7" style="4" customWidth="1"/>
    <col min="13821" max="13821" width="2.42578125" style="4" customWidth="1"/>
    <col min="13822" max="13822" width="5.7109375" style="4" customWidth="1"/>
    <col min="13823" max="13823" width="68.7109375" style="4" customWidth="1"/>
    <col min="13824" max="13824" width="2.7109375" style="4" customWidth="1"/>
    <col min="13825" max="13825" width="14.7109375" style="4" customWidth="1"/>
    <col min="13826" max="13826" width="2.7109375" style="4" customWidth="1"/>
    <col min="13827" max="13827" width="2.42578125" style="4" customWidth="1"/>
    <col min="13828" max="13828" width="28.7109375" style="4" customWidth="1"/>
    <col min="13829" max="14073" width="8.85546875" style="4"/>
    <col min="14074" max="14075" width="2.7109375" style="4" customWidth="1"/>
    <col min="14076" max="14076" width="7" style="4" customWidth="1"/>
    <col min="14077" max="14077" width="2.42578125" style="4" customWidth="1"/>
    <col min="14078" max="14078" width="5.7109375" style="4" customWidth="1"/>
    <col min="14079" max="14079" width="68.7109375" style="4" customWidth="1"/>
    <col min="14080" max="14080" width="2.7109375" style="4" customWidth="1"/>
    <col min="14081" max="14081" width="14.7109375" style="4" customWidth="1"/>
    <col min="14082" max="14082" width="2.7109375" style="4" customWidth="1"/>
    <col min="14083" max="14083" width="2.42578125" style="4" customWidth="1"/>
    <col min="14084" max="14084" width="28.7109375" style="4" customWidth="1"/>
    <col min="14085" max="14329" width="8.85546875" style="4"/>
    <col min="14330" max="14331" width="2.7109375" style="4" customWidth="1"/>
    <col min="14332" max="14332" width="7" style="4" customWidth="1"/>
    <col min="14333" max="14333" width="2.42578125" style="4" customWidth="1"/>
    <col min="14334" max="14334" width="5.7109375" style="4" customWidth="1"/>
    <col min="14335" max="14335" width="68.7109375" style="4" customWidth="1"/>
    <col min="14336" max="14336" width="2.7109375" style="4" customWidth="1"/>
    <col min="14337" max="14337" width="14.7109375" style="4" customWidth="1"/>
    <col min="14338" max="14338" width="2.7109375" style="4" customWidth="1"/>
    <col min="14339" max="14339" width="2.42578125" style="4" customWidth="1"/>
    <col min="14340" max="14340" width="28.7109375" style="4" customWidth="1"/>
    <col min="14341" max="14585" width="8.85546875" style="4"/>
    <col min="14586" max="14587" width="2.7109375" style="4" customWidth="1"/>
    <col min="14588" max="14588" width="7" style="4" customWidth="1"/>
    <col min="14589" max="14589" width="2.42578125" style="4" customWidth="1"/>
    <col min="14590" max="14590" width="5.7109375" style="4" customWidth="1"/>
    <col min="14591" max="14591" width="68.7109375" style="4" customWidth="1"/>
    <col min="14592" max="14592" width="2.7109375" style="4" customWidth="1"/>
    <col min="14593" max="14593" width="14.7109375" style="4" customWidth="1"/>
    <col min="14594" max="14594" width="2.7109375" style="4" customWidth="1"/>
    <col min="14595" max="14595" width="2.42578125" style="4" customWidth="1"/>
    <col min="14596" max="14596" width="28.7109375" style="4" customWidth="1"/>
    <col min="14597" max="14841" width="8.85546875" style="4"/>
    <col min="14842" max="14843" width="2.7109375" style="4" customWidth="1"/>
    <col min="14844" max="14844" width="7" style="4" customWidth="1"/>
    <col min="14845" max="14845" width="2.42578125" style="4" customWidth="1"/>
    <col min="14846" max="14846" width="5.7109375" style="4" customWidth="1"/>
    <col min="14847" max="14847" width="68.7109375" style="4" customWidth="1"/>
    <col min="14848" max="14848" width="2.7109375" style="4" customWidth="1"/>
    <col min="14849" max="14849" width="14.7109375" style="4" customWidth="1"/>
    <col min="14850" max="14850" width="2.7109375" style="4" customWidth="1"/>
    <col min="14851" max="14851" width="2.42578125" style="4" customWidth="1"/>
    <col min="14852" max="14852" width="28.7109375" style="4" customWidth="1"/>
    <col min="14853" max="15097" width="8.85546875" style="4"/>
    <col min="15098" max="15099" width="2.7109375" style="4" customWidth="1"/>
    <col min="15100" max="15100" width="7" style="4" customWidth="1"/>
    <col min="15101" max="15101" width="2.42578125" style="4" customWidth="1"/>
    <col min="15102" max="15102" width="5.7109375" style="4" customWidth="1"/>
    <col min="15103" max="15103" width="68.7109375" style="4" customWidth="1"/>
    <col min="15104" max="15104" width="2.7109375" style="4" customWidth="1"/>
    <col min="15105" max="15105" width="14.7109375" style="4" customWidth="1"/>
    <col min="15106" max="15106" width="2.7109375" style="4" customWidth="1"/>
    <col min="15107" max="15107" width="2.42578125" style="4" customWidth="1"/>
    <col min="15108" max="15108" width="28.7109375" style="4" customWidth="1"/>
    <col min="15109" max="15353" width="8.85546875" style="4"/>
    <col min="15354" max="15355" width="2.7109375" style="4" customWidth="1"/>
    <col min="15356" max="15356" width="7" style="4" customWidth="1"/>
    <col min="15357" max="15357" width="2.42578125" style="4" customWidth="1"/>
    <col min="15358" max="15358" width="5.7109375" style="4" customWidth="1"/>
    <col min="15359" max="15359" width="68.7109375" style="4" customWidth="1"/>
    <col min="15360" max="15360" width="2.7109375" style="4" customWidth="1"/>
    <col min="15361" max="15361" width="14.7109375" style="4" customWidth="1"/>
    <col min="15362" max="15362" width="2.7109375" style="4" customWidth="1"/>
    <col min="15363" max="15363" width="2.42578125" style="4" customWidth="1"/>
    <col min="15364" max="15364" width="28.7109375" style="4" customWidth="1"/>
    <col min="15365" max="15609" width="8.85546875" style="4"/>
    <col min="15610" max="15611" width="2.7109375" style="4" customWidth="1"/>
    <col min="15612" max="15612" width="7" style="4" customWidth="1"/>
    <col min="15613" max="15613" width="2.42578125" style="4" customWidth="1"/>
    <col min="15614" max="15614" width="5.7109375" style="4" customWidth="1"/>
    <col min="15615" max="15615" width="68.7109375" style="4" customWidth="1"/>
    <col min="15616" max="15616" width="2.7109375" style="4" customWidth="1"/>
    <col min="15617" max="15617" width="14.7109375" style="4" customWidth="1"/>
    <col min="15618" max="15618" width="2.7109375" style="4" customWidth="1"/>
    <col min="15619" max="15619" width="2.42578125" style="4" customWidth="1"/>
    <col min="15620" max="15620" width="28.7109375" style="4" customWidth="1"/>
    <col min="15621" max="15865" width="8.85546875" style="4"/>
    <col min="15866" max="15867" width="2.7109375" style="4" customWidth="1"/>
    <col min="15868" max="15868" width="7" style="4" customWidth="1"/>
    <col min="15869" max="15869" width="2.42578125" style="4" customWidth="1"/>
    <col min="15870" max="15870" width="5.7109375" style="4" customWidth="1"/>
    <col min="15871" max="15871" width="68.7109375" style="4" customWidth="1"/>
    <col min="15872" max="15872" width="2.7109375" style="4" customWidth="1"/>
    <col min="15873" max="15873" width="14.7109375" style="4" customWidth="1"/>
    <col min="15874" max="15874" width="2.7109375" style="4" customWidth="1"/>
    <col min="15875" max="15875" width="2.42578125" style="4" customWidth="1"/>
    <col min="15876" max="15876" width="28.7109375" style="4" customWidth="1"/>
    <col min="15877" max="16121" width="8.85546875" style="4"/>
    <col min="16122" max="16123" width="2.7109375" style="4" customWidth="1"/>
    <col min="16124" max="16124" width="7" style="4" customWidth="1"/>
    <col min="16125" max="16125" width="2.42578125" style="4" customWidth="1"/>
    <col min="16126" max="16126" width="5.7109375" style="4" customWidth="1"/>
    <col min="16127" max="16127" width="68.7109375" style="4" customWidth="1"/>
    <col min="16128" max="16128" width="2.7109375" style="4" customWidth="1"/>
    <col min="16129" max="16129" width="14.7109375" style="4" customWidth="1"/>
    <col min="16130" max="16130" width="2.7109375" style="4" customWidth="1"/>
    <col min="16131" max="16131" width="2.42578125" style="4" customWidth="1"/>
    <col min="16132" max="16132" width="28.7109375" style="4" customWidth="1"/>
    <col min="16133" max="16384" width="8.85546875" style="4"/>
  </cols>
  <sheetData>
    <row r="2" spans="2:14" ht="15" customHeight="1" x14ac:dyDescent="0.25">
      <c r="B2" s="1"/>
      <c r="C2" s="2">
        <v>1</v>
      </c>
      <c r="D2" s="2"/>
      <c r="E2" s="2"/>
      <c r="F2" s="2"/>
      <c r="G2" s="2"/>
      <c r="H2" s="2"/>
      <c r="I2" s="2"/>
      <c r="J2" s="2"/>
      <c r="K2" s="2"/>
      <c r="L2" s="2"/>
      <c r="M2" s="2"/>
      <c r="N2" s="3"/>
    </row>
    <row r="3" spans="2:14" ht="24.75" customHeight="1" x14ac:dyDescent="0.25">
      <c r="B3" s="5"/>
      <c r="C3" s="6">
        <v>1</v>
      </c>
      <c r="D3" s="7" t="s">
        <v>61</v>
      </c>
      <c r="E3" s="6"/>
      <c r="F3" s="6"/>
      <c r="G3" s="8"/>
      <c r="H3" s="8"/>
      <c r="I3" s="8"/>
      <c r="J3" s="8"/>
      <c r="K3" s="8"/>
      <c r="L3" s="8"/>
      <c r="M3" s="8"/>
      <c r="N3" s="9"/>
    </row>
    <row r="4" spans="2:14" ht="15" customHeight="1" x14ac:dyDescent="0.25">
      <c r="B4" s="5"/>
      <c r="C4" s="6">
        <v>1</v>
      </c>
      <c r="D4" s="10" t="s">
        <v>69</v>
      </c>
      <c r="E4" s="6"/>
      <c r="F4" s="11"/>
      <c r="G4" s="12"/>
      <c r="H4" s="8"/>
      <c r="I4" s="8"/>
      <c r="J4" s="8"/>
      <c r="K4" s="8"/>
      <c r="L4" s="8"/>
      <c r="M4" s="8"/>
      <c r="N4" s="13"/>
    </row>
    <row r="5" spans="2:14" ht="15" customHeight="1" x14ac:dyDescent="0.25">
      <c r="B5" s="5"/>
      <c r="C5" s="6">
        <v>1</v>
      </c>
      <c r="D5" s="6"/>
      <c r="E5" s="14"/>
      <c r="F5" s="12"/>
      <c r="G5" s="12"/>
      <c r="H5" s="8"/>
      <c r="I5" s="8"/>
      <c r="J5" s="8"/>
      <c r="K5" s="8"/>
      <c r="L5" s="8"/>
      <c r="M5" s="8"/>
      <c r="N5" s="15"/>
    </row>
    <row r="6" spans="2:14" ht="15" customHeight="1" x14ac:dyDescent="0.25">
      <c r="B6" s="5"/>
      <c r="C6" s="6">
        <v>1</v>
      </c>
      <c r="D6" s="16"/>
      <c r="E6" s="17"/>
      <c r="F6" s="8"/>
      <c r="G6" s="8"/>
      <c r="H6" s="8"/>
      <c r="I6" s="8"/>
      <c r="J6" s="8"/>
      <c r="K6" s="8"/>
      <c r="L6" s="8"/>
      <c r="M6" s="8"/>
      <c r="N6" s="9"/>
    </row>
    <row r="7" spans="2:14" ht="15" customHeight="1" x14ac:dyDescent="0.25">
      <c r="B7" s="5"/>
      <c r="C7" s="6">
        <v>1</v>
      </c>
      <c r="D7" s="16"/>
      <c r="E7" s="8"/>
      <c r="F7" s="8"/>
      <c r="G7" s="8"/>
      <c r="H7" s="8"/>
      <c r="I7" s="8"/>
      <c r="J7" s="8"/>
      <c r="K7" s="8"/>
      <c r="L7" s="8"/>
      <c r="M7" s="8"/>
      <c r="N7" s="9"/>
    </row>
    <row r="8" spans="2:14" ht="21" customHeight="1" x14ac:dyDescent="0.2">
      <c r="B8" s="5"/>
      <c r="C8" s="6">
        <v>1</v>
      </c>
      <c r="D8" s="504" t="s">
        <v>67</v>
      </c>
      <c r="E8" s="495" t="s">
        <v>102</v>
      </c>
      <c r="F8" s="498" t="s">
        <v>46</v>
      </c>
      <c r="G8" s="499"/>
      <c r="H8" s="499"/>
      <c r="I8" s="500"/>
      <c r="J8" s="498" t="s">
        <v>47</v>
      </c>
      <c r="K8" s="499"/>
      <c r="L8" s="499"/>
      <c r="M8" s="500"/>
      <c r="N8" s="13"/>
    </row>
    <row r="9" spans="2:14" ht="21" customHeight="1" x14ac:dyDescent="0.25">
      <c r="B9" s="5"/>
      <c r="C9" s="6"/>
      <c r="D9" s="505"/>
      <c r="E9" s="496"/>
      <c r="F9" s="501" t="str">
        <f>IF(Instructions!U40=1,"(gallons/year)","(liters/year)")</f>
        <v>(gallons/year)</v>
      </c>
      <c r="G9" s="502"/>
      <c r="H9" s="502"/>
      <c r="I9" s="503"/>
      <c r="J9" s="501" t="str">
        <f>IF(Instructions!U40=1,"(gallons/year)","(liters/year)")</f>
        <v>(gallons/year)</v>
      </c>
      <c r="K9" s="502"/>
      <c r="L9" s="502"/>
      <c r="M9" s="503"/>
      <c r="N9" s="13"/>
    </row>
    <row r="10" spans="2:14" s="18" customFormat="1" ht="57" customHeight="1" x14ac:dyDescent="0.25">
      <c r="B10" s="5"/>
      <c r="C10" s="6">
        <v>1</v>
      </c>
      <c r="D10" s="506"/>
      <c r="E10" s="497"/>
      <c r="F10" s="137" t="s">
        <v>98</v>
      </c>
      <c r="G10" s="134" t="s">
        <v>99</v>
      </c>
      <c r="H10" s="134" t="s">
        <v>96</v>
      </c>
      <c r="I10" s="135" t="s">
        <v>95</v>
      </c>
      <c r="J10" s="136" t="s">
        <v>98</v>
      </c>
      <c r="K10" s="134" t="s">
        <v>99</v>
      </c>
      <c r="L10" s="134" t="s">
        <v>97</v>
      </c>
      <c r="M10" s="135" t="s">
        <v>94</v>
      </c>
      <c r="N10" s="13"/>
    </row>
    <row r="11" spans="2:14" s="18" customFormat="1" ht="15.75" customHeight="1" x14ac:dyDescent="0.25">
      <c r="B11" s="5"/>
      <c r="C11" s="6">
        <f t="shared" ref="C11" ca="1" si="0">IF(OR(D11="Introduction",D11="Base Calc",D11="Summary D+C",D11="Summary O+M",D11="",D11=0),0,1)</f>
        <v>1</v>
      </c>
      <c r="D11" s="138" t="str">
        <f ca="1">IFERROR(INDEX(MID(Sheets,FIND("]",Sheets)+1,255),ROW(A3),1),"")</f>
        <v>Group 1</v>
      </c>
      <c r="E11" s="139">
        <v>1</v>
      </c>
      <c r="F11" s="342">
        <f ca="1">INDIRECT("'"&amp;D11&amp;"'!$AA$7")</f>
        <v>219438</v>
      </c>
      <c r="G11" s="343">
        <f ca="1">INDIRECT("'"&amp;$D11&amp;"'!$AA$8")</f>
        <v>975280</v>
      </c>
      <c r="H11" s="344">
        <f t="shared" ref="H11" ca="1" si="1">F11+G11</f>
        <v>1194718</v>
      </c>
      <c r="I11" s="344">
        <f t="shared" ref="I11" ca="1" si="2">H11*E11</f>
        <v>1194718</v>
      </c>
      <c r="J11" s="343">
        <f ca="1">INDIRECT("'"&amp;$D11&amp;"'!$AA$9")</f>
        <v>93261.15</v>
      </c>
      <c r="K11" s="343">
        <f ca="1">INDIRECT("'"&amp;$D11&amp;"'!$AA$10")</f>
        <v>721404.25</v>
      </c>
      <c r="L11" s="344">
        <f t="shared" ref="L11" ca="1" si="3">J11+K11</f>
        <v>814665.4</v>
      </c>
      <c r="M11" s="345">
        <f t="shared" ref="M11" ca="1" si="4">L11*E11</f>
        <v>814665.4</v>
      </c>
      <c r="N11" s="13"/>
    </row>
    <row r="12" spans="2:14" s="18" customFormat="1" ht="13.5" customHeight="1" x14ac:dyDescent="0.25">
      <c r="B12" s="5"/>
      <c r="C12" s="6">
        <v>1</v>
      </c>
      <c r="D12" s="19"/>
      <c r="E12" s="19"/>
      <c r="F12" s="20"/>
      <c r="G12" s="20"/>
      <c r="H12" s="21"/>
      <c r="I12" s="21"/>
      <c r="J12" s="20"/>
      <c r="K12" s="20"/>
      <c r="L12" s="21"/>
      <c r="M12" s="21"/>
      <c r="N12" s="13"/>
    </row>
    <row r="13" spans="2:14" s="18" customFormat="1" ht="21" customHeight="1" x14ac:dyDescent="0.25">
      <c r="B13" s="22" t="s">
        <v>59</v>
      </c>
      <c r="C13" s="6">
        <v>1</v>
      </c>
      <c r="D13" s="492" t="str">
        <f>IF(Instructions!U40=1,"Annual baseline water consumption (gallons/year)","Annual baseline water consumption (liters/year)")</f>
        <v>Annual baseline water consumption (gallons/year)</v>
      </c>
      <c r="E13" s="493"/>
      <c r="F13" s="493"/>
      <c r="G13" s="493"/>
      <c r="H13" s="493"/>
      <c r="I13" s="493"/>
      <c r="J13" s="493"/>
      <c r="K13" s="493"/>
      <c r="L13" s="494"/>
      <c r="M13" s="346">
        <f ca="1">SUM(I11:I12)</f>
        <v>1194718</v>
      </c>
      <c r="N13" s="13"/>
    </row>
    <row r="14" spans="2:14" s="18" customFormat="1" ht="21" customHeight="1" x14ac:dyDescent="0.25">
      <c r="B14" s="5"/>
      <c r="C14" s="6">
        <v>1</v>
      </c>
      <c r="D14" s="492" t="str">
        <f>IF(Instructions!U40=1,"Annual design water consumption (gallons/year)","Annual design water consumption (liters/year)")</f>
        <v>Annual design water consumption (gallons/year)</v>
      </c>
      <c r="E14" s="493"/>
      <c r="F14" s="493"/>
      <c r="G14" s="493"/>
      <c r="H14" s="493"/>
      <c r="I14" s="493"/>
      <c r="J14" s="493"/>
      <c r="K14" s="493"/>
      <c r="L14" s="494"/>
      <c r="M14" s="346">
        <f ca="1">SUM(M11:M12)</f>
        <v>814665.4</v>
      </c>
      <c r="N14" s="13"/>
    </row>
    <row r="15" spans="2:14" s="18" customFormat="1" ht="21" customHeight="1" x14ac:dyDescent="0.25">
      <c r="B15" s="5"/>
      <c r="C15" s="6">
        <v>1</v>
      </c>
      <c r="D15" s="492" t="s">
        <v>60</v>
      </c>
      <c r="E15" s="493"/>
      <c r="F15" s="493"/>
      <c r="G15" s="493"/>
      <c r="H15" s="493"/>
      <c r="I15" s="493"/>
      <c r="J15" s="493"/>
      <c r="K15" s="493"/>
      <c r="L15" s="494"/>
      <c r="M15" s="140">
        <f ca="1">IF(M14=0,0,(M13-M14)/M13)</f>
        <v>0.31809999999999999</v>
      </c>
      <c r="N15" s="13"/>
    </row>
    <row r="16" spans="2:14" s="18" customFormat="1" ht="24.75" customHeight="1" x14ac:dyDescent="0.25">
      <c r="B16" s="23"/>
      <c r="C16" s="24">
        <v>1</v>
      </c>
      <c r="D16" s="25"/>
      <c r="E16" s="25"/>
      <c r="F16" s="24"/>
      <c r="G16" s="26"/>
      <c r="H16" s="24"/>
      <c r="I16" s="24"/>
      <c r="J16" s="26"/>
      <c r="K16" s="24"/>
      <c r="L16" s="24"/>
      <c r="M16" s="24"/>
      <c r="N16" s="27"/>
    </row>
    <row r="17" spans="4:14" s="18" customFormat="1" ht="15" customHeight="1" x14ac:dyDescent="0.2">
      <c r="L17" s="28"/>
      <c r="N17" s="29"/>
    </row>
    <row r="18" spans="4:14" s="18" customFormat="1" ht="15" customHeight="1" x14ac:dyDescent="0.2">
      <c r="E18" s="30"/>
      <c r="F18" s="30"/>
      <c r="G18" s="30"/>
      <c r="L18" s="28"/>
      <c r="N18" s="31"/>
    </row>
    <row r="19" spans="4:14" s="18" customFormat="1" ht="15" customHeight="1" x14ac:dyDescent="0.2">
      <c r="F19" s="32"/>
      <c r="G19" s="32"/>
      <c r="H19" s="33"/>
      <c r="L19" s="28"/>
      <c r="N19" s="32"/>
    </row>
    <row r="20" spans="4:14" s="18" customFormat="1" ht="15" customHeight="1" x14ac:dyDescent="0.25">
      <c r="D20" s="4"/>
      <c r="G20" s="4" t="str">
        <f ca="1">IFERROR(INDEX(MID(Sheets,FIND("]",Sheets)+1,255),ROW(#REF!),1),"")</f>
        <v/>
      </c>
    </row>
    <row r="21" spans="4:14" s="18" customFormat="1" ht="15" customHeight="1" x14ac:dyDescent="0.25">
      <c r="D21" s="4"/>
    </row>
    <row r="22" spans="4:14" s="18" customFormat="1" ht="15" customHeight="1" x14ac:dyDescent="0.25">
      <c r="D22" s="4"/>
    </row>
    <row r="23" spans="4:14" s="18" customFormat="1" ht="15" customHeight="1" x14ac:dyDescent="0.25">
      <c r="D23" s="4"/>
    </row>
    <row r="24" spans="4:14" s="18" customFormat="1" ht="15" customHeight="1" x14ac:dyDescent="0.25">
      <c r="D24" s="4"/>
    </row>
    <row r="25" spans="4:14" s="18" customFormat="1" ht="15" customHeight="1" x14ac:dyDescent="0.25">
      <c r="D25" s="4"/>
    </row>
    <row r="26" spans="4:14" s="18" customFormat="1" ht="15" customHeight="1" x14ac:dyDescent="0.25">
      <c r="D26" s="4"/>
    </row>
    <row r="27" spans="4:14" s="18" customFormat="1" ht="15" customHeight="1" x14ac:dyDescent="0.25">
      <c r="D27" s="4"/>
    </row>
    <row r="28" spans="4:14" s="18" customFormat="1" ht="15" customHeight="1" x14ac:dyDescent="0.25">
      <c r="D28" s="4"/>
    </row>
    <row r="29" spans="4:14" s="18" customFormat="1" ht="15" customHeight="1" x14ac:dyDescent="0.25">
      <c r="D29" s="4"/>
    </row>
    <row r="30" spans="4:14" ht="15" customHeight="1" x14ac:dyDescent="0.25">
      <c r="E30" s="18"/>
      <c r="F30" s="18"/>
      <c r="G30" s="18"/>
      <c r="H30" s="18"/>
      <c r="J30" s="18"/>
      <c r="L30" s="18"/>
      <c r="N30" s="18"/>
    </row>
    <row r="31" spans="4:14" ht="15" customHeight="1" x14ac:dyDescent="0.25">
      <c r="L31" s="18"/>
      <c r="N31" s="18"/>
    </row>
    <row r="32" spans="4:14" ht="15" customHeight="1" x14ac:dyDescent="0.25">
      <c r="L32" s="18"/>
      <c r="N32" s="18"/>
    </row>
  </sheetData>
  <sheetProtection algorithmName="SHA-512" hashValue="JRzoAgjWpv7U10xG8tDp4ffAc3vlOH6rJgXcfNaaPwFeUDp/n5hG8KPgxjeZ1uHpUaXq/IUVbfNHcpTIZkO1gw==" saltValue="WBsgHIqMVhhZWmC6gPoH6w==" spinCount="100000" sheet="1" objects="1" scenarios="1"/>
  <mergeCells count="9">
    <mergeCell ref="D15:L15"/>
    <mergeCell ref="E8:E10"/>
    <mergeCell ref="F8:I8"/>
    <mergeCell ref="J8:M8"/>
    <mergeCell ref="F9:I9"/>
    <mergeCell ref="J9:M9"/>
    <mergeCell ref="D8:D10"/>
    <mergeCell ref="D13:L13"/>
    <mergeCell ref="D14:L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Summary">
                <anchor moveWithCells="1" sizeWithCells="1">
                  <from>
                    <xdr:col>3</xdr:col>
                    <xdr:colOff>47625</xdr:colOff>
                    <xdr:row>4</xdr:row>
                    <xdr:rowOff>133350</xdr:rowOff>
                  </from>
                  <to>
                    <xdr:col>4</xdr:col>
                    <xdr:colOff>228600</xdr:colOff>
                    <xdr:row>6</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N40"/>
  <sheetViews>
    <sheetView showGridLines="0" tabSelected="1" topLeftCell="A3" zoomScale="90" zoomScaleNormal="90" zoomScalePageLayoutView="80" workbookViewId="0">
      <selection activeCell="Q18" sqref="Q18"/>
    </sheetView>
  </sheetViews>
  <sheetFormatPr defaultColWidth="8.85546875" defaultRowHeight="15" customHeight="1" x14ac:dyDescent="0.25"/>
  <cols>
    <col min="1" max="1" width="2.7109375" style="4" customWidth="1"/>
    <col min="2" max="2" width="2.42578125" style="4" customWidth="1"/>
    <col min="3" max="3" width="2.42578125" style="4" hidden="1" customWidth="1"/>
    <col min="4" max="4" width="29.42578125" style="4" customWidth="1"/>
    <col min="5" max="8" width="12.7109375" style="4" customWidth="1"/>
    <col min="9" max="9" width="14.7109375" style="4" customWidth="1"/>
    <col min="10" max="12" width="12.7109375" style="4" customWidth="1"/>
    <col min="13" max="13" width="14.7109375" style="4" customWidth="1"/>
    <col min="14" max="14" width="2.7109375" style="4" customWidth="1"/>
    <col min="15" max="249" width="8.85546875" style="4"/>
    <col min="250" max="251" width="2.7109375" style="4" customWidth="1"/>
    <col min="252" max="252" width="7" style="4" customWidth="1"/>
    <col min="253" max="253" width="2.42578125" style="4" customWidth="1"/>
    <col min="254" max="254" width="5.7109375" style="4" customWidth="1"/>
    <col min="255" max="255" width="68.7109375" style="4" customWidth="1"/>
    <col min="256" max="256" width="2.7109375" style="4" customWidth="1"/>
    <col min="257" max="257" width="14.7109375" style="4" customWidth="1"/>
    <col min="258" max="258" width="2.7109375" style="4" customWidth="1"/>
    <col min="259" max="259" width="2.42578125" style="4" customWidth="1"/>
    <col min="260" max="260" width="28.7109375" style="4" customWidth="1"/>
    <col min="261" max="505" width="8.85546875" style="4"/>
    <col min="506" max="507" width="2.7109375" style="4" customWidth="1"/>
    <col min="508" max="508" width="7" style="4" customWidth="1"/>
    <col min="509" max="509" width="2.42578125" style="4" customWidth="1"/>
    <col min="510" max="510" width="5.7109375" style="4" customWidth="1"/>
    <col min="511" max="511" width="68.7109375" style="4" customWidth="1"/>
    <col min="512" max="512" width="2.7109375" style="4" customWidth="1"/>
    <col min="513" max="513" width="14.7109375" style="4" customWidth="1"/>
    <col min="514" max="514" width="2.7109375" style="4" customWidth="1"/>
    <col min="515" max="515" width="2.42578125" style="4" customWidth="1"/>
    <col min="516" max="516" width="28.7109375" style="4" customWidth="1"/>
    <col min="517" max="761" width="8.85546875" style="4"/>
    <col min="762" max="763" width="2.7109375" style="4" customWidth="1"/>
    <col min="764" max="764" width="7" style="4" customWidth="1"/>
    <col min="765" max="765" width="2.42578125" style="4" customWidth="1"/>
    <col min="766" max="766" width="5.7109375" style="4" customWidth="1"/>
    <col min="767" max="767" width="68.7109375" style="4" customWidth="1"/>
    <col min="768" max="768" width="2.7109375" style="4" customWidth="1"/>
    <col min="769" max="769" width="14.7109375" style="4" customWidth="1"/>
    <col min="770" max="770" width="2.7109375" style="4" customWidth="1"/>
    <col min="771" max="771" width="2.42578125" style="4" customWidth="1"/>
    <col min="772" max="772" width="28.7109375" style="4" customWidth="1"/>
    <col min="773" max="1017" width="8.85546875" style="4"/>
    <col min="1018" max="1019" width="2.7109375" style="4" customWidth="1"/>
    <col min="1020" max="1020" width="7" style="4" customWidth="1"/>
    <col min="1021" max="1021" width="2.42578125" style="4" customWidth="1"/>
    <col min="1022" max="1022" width="5.7109375" style="4" customWidth="1"/>
    <col min="1023" max="1023" width="68.7109375" style="4" customWidth="1"/>
    <col min="1024" max="1024" width="2.7109375" style="4" customWidth="1"/>
    <col min="1025" max="1025" width="14.7109375" style="4" customWidth="1"/>
    <col min="1026" max="1026" width="2.7109375" style="4" customWidth="1"/>
    <col min="1027" max="1027" width="2.42578125" style="4" customWidth="1"/>
    <col min="1028" max="1028" width="28.7109375" style="4" customWidth="1"/>
    <col min="1029" max="1273" width="8.85546875" style="4"/>
    <col min="1274" max="1275" width="2.7109375" style="4" customWidth="1"/>
    <col min="1276" max="1276" width="7" style="4" customWidth="1"/>
    <col min="1277" max="1277" width="2.42578125" style="4" customWidth="1"/>
    <col min="1278" max="1278" width="5.7109375" style="4" customWidth="1"/>
    <col min="1279" max="1279" width="68.7109375" style="4" customWidth="1"/>
    <col min="1280" max="1280" width="2.7109375" style="4" customWidth="1"/>
    <col min="1281" max="1281" width="14.7109375" style="4" customWidth="1"/>
    <col min="1282" max="1282" width="2.7109375" style="4" customWidth="1"/>
    <col min="1283" max="1283" width="2.42578125" style="4" customWidth="1"/>
    <col min="1284" max="1284" width="28.7109375" style="4" customWidth="1"/>
    <col min="1285" max="1529" width="8.85546875" style="4"/>
    <col min="1530" max="1531" width="2.7109375" style="4" customWidth="1"/>
    <col min="1532" max="1532" width="7" style="4" customWidth="1"/>
    <col min="1533" max="1533" width="2.42578125" style="4" customWidth="1"/>
    <col min="1534" max="1534" width="5.7109375" style="4" customWidth="1"/>
    <col min="1535" max="1535" width="68.7109375" style="4" customWidth="1"/>
    <col min="1536" max="1536" width="2.7109375" style="4" customWidth="1"/>
    <col min="1537" max="1537" width="14.7109375" style="4" customWidth="1"/>
    <col min="1538" max="1538" width="2.7109375" style="4" customWidth="1"/>
    <col min="1539" max="1539" width="2.42578125" style="4" customWidth="1"/>
    <col min="1540" max="1540" width="28.7109375" style="4" customWidth="1"/>
    <col min="1541" max="1785" width="8.85546875" style="4"/>
    <col min="1786" max="1787" width="2.7109375" style="4" customWidth="1"/>
    <col min="1788" max="1788" width="7" style="4" customWidth="1"/>
    <col min="1789" max="1789" width="2.42578125" style="4" customWidth="1"/>
    <col min="1790" max="1790" width="5.7109375" style="4" customWidth="1"/>
    <col min="1791" max="1791" width="68.7109375" style="4" customWidth="1"/>
    <col min="1792" max="1792" width="2.7109375" style="4" customWidth="1"/>
    <col min="1793" max="1793" width="14.7109375" style="4" customWidth="1"/>
    <col min="1794" max="1794" width="2.7109375" style="4" customWidth="1"/>
    <col min="1795" max="1795" width="2.42578125" style="4" customWidth="1"/>
    <col min="1796" max="1796" width="28.7109375" style="4" customWidth="1"/>
    <col min="1797" max="2041" width="8.85546875" style="4"/>
    <col min="2042" max="2043" width="2.7109375" style="4" customWidth="1"/>
    <col min="2044" max="2044" width="7" style="4" customWidth="1"/>
    <col min="2045" max="2045" width="2.42578125" style="4" customWidth="1"/>
    <col min="2046" max="2046" width="5.7109375" style="4" customWidth="1"/>
    <col min="2047" max="2047" width="68.7109375" style="4" customWidth="1"/>
    <col min="2048" max="2048" width="2.7109375" style="4" customWidth="1"/>
    <col min="2049" max="2049" width="14.7109375" style="4" customWidth="1"/>
    <col min="2050" max="2050" width="2.7109375" style="4" customWidth="1"/>
    <col min="2051" max="2051" width="2.42578125" style="4" customWidth="1"/>
    <col min="2052" max="2052" width="28.7109375" style="4" customWidth="1"/>
    <col min="2053" max="2297" width="8.85546875" style="4"/>
    <col min="2298" max="2299" width="2.7109375" style="4" customWidth="1"/>
    <col min="2300" max="2300" width="7" style="4" customWidth="1"/>
    <col min="2301" max="2301" width="2.42578125" style="4" customWidth="1"/>
    <col min="2302" max="2302" width="5.7109375" style="4" customWidth="1"/>
    <col min="2303" max="2303" width="68.7109375" style="4" customWidth="1"/>
    <col min="2304" max="2304" width="2.7109375" style="4" customWidth="1"/>
    <col min="2305" max="2305" width="14.7109375" style="4" customWidth="1"/>
    <col min="2306" max="2306" width="2.7109375" style="4" customWidth="1"/>
    <col min="2307" max="2307" width="2.42578125" style="4" customWidth="1"/>
    <col min="2308" max="2308" width="28.7109375" style="4" customWidth="1"/>
    <col min="2309" max="2553" width="8.85546875" style="4"/>
    <col min="2554" max="2555" width="2.7109375" style="4" customWidth="1"/>
    <col min="2556" max="2556" width="7" style="4" customWidth="1"/>
    <col min="2557" max="2557" width="2.42578125" style="4" customWidth="1"/>
    <col min="2558" max="2558" width="5.7109375" style="4" customWidth="1"/>
    <col min="2559" max="2559" width="68.7109375" style="4" customWidth="1"/>
    <col min="2560" max="2560" width="2.7109375" style="4" customWidth="1"/>
    <col min="2561" max="2561" width="14.7109375" style="4" customWidth="1"/>
    <col min="2562" max="2562" width="2.7109375" style="4" customWidth="1"/>
    <col min="2563" max="2563" width="2.42578125" style="4" customWidth="1"/>
    <col min="2564" max="2564" width="28.7109375" style="4" customWidth="1"/>
    <col min="2565" max="2809" width="8.85546875" style="4"/>
    <col min="2810" max="2811" width="2.7109375" style="4" customWidth="1"/>
    <col min="2812" max="2812" width="7" style="4" customWidth="1"/>
    <col min="2813" max="2813" width="2.42578125" style="4" customWidth="1"/>
    <col min="2814" max="2814" width="5.7109375" style="4" customWidth="1"/>
    <col min="2815" max="2815" width="68.7109375" style="4" customWidth="1"/>
    <col min="2816" max="2816" width="2.7109375" style="4" customWidth="1"/>
    <col min="2817" max="2817" width="14.7109375" style="4" customWidth="1"/>
    <col min="2818" max="2818" width="2.7109375" style="4" customWidth="1"/>
    <col min="2819" max="2819" width="2.42578125" style="4" customWidth="1"/>
    <col min="2820" max="2820" width="28.7109375" style="4" customWidth="1"/>
    <col min="2821" max="3065" width="8.85546875" style="4"/>
    <col min="3066" max="3067" width="2.7109375" style="4" customWidth="1"/>
    <col min="3068" max="3068" width="7" style="4" customWidth="1"/>
    <col min="3069" max="3069" width="2.42578125" style="4" customWidth="1"/>
    <col min="3070" max="3070" width="5.7109375" style="4" customWidth="1"/>
    <col min="3071" max="3071" width="68.7109375" style="4" customWidth="1"/>
    <col min="3072" max="3072" width="2.7109375" style="4" customWidth="1"/>
    <col min="3073" max="3073" width="14.7109375" style="4" customWidth="1"/>
    <col min="3074" max="3074" width="2.7109375" style="4" customWidth="1"/>
    <col min="3075" max="3075" width="2.42578125" style="4" customWidth="1"/>
    <col min="3076" max="3076" width="28.7109375" style="4" customWidth="1"/>
    <col min="3077" max="3321" width="8.85546875" style="4"/>
    <col min="3322" max="3323" width="2.7109375" style="4" customWidth="1"/>
    <col min="3324" max="3324" width="7" style="4" customWidth="1"/>
    <col min="3325" max="3325" width="2.42578125" style="4" customWidth="1"/>
    <col min="3326" max="3326" width="5.7109375" style="4" customWidth="1"/>
    <col min="3327" max="3327" width="68.7109375" style="4" customWidth="1"/>
    <col min="3328" max="3328" width="2.7109375" style="4" customWidth="1"/>
    <col min="3329" max="3329" width="14.7109375" style="4" customWidth="1"/>
    <col min="3330" max="3330" width="2.7109375" style="4" customWidth="1"/>
    <col min="3331" max="3331" width="2.42578125" style="4" customWidth="1"/>
    <col min="3332" max="3332" width="28.7109375" style="4" customWidth="1"/>
    <col min="3333" max="3577" width="8.85546875" style="4"/>
    <col min="3578" max="3579" width="2.7109375" style="4" customWidth="1"/>
    <col min="3580" max="3580" width="7" style="4" customWidth="1"/>
    <col min="3581" max="3581" width="2.42578125" style="4" customWidth="1"/>
    <col min="3582" max="3582" width="5.7109375" style="4" customWidth="1"/>
    <col min="3583" max="3583" width="68.7109375" style="4" customWidth="1"/>
    <col min="3584" max="3584" width="2.7109375" style="4" customWidth="1"/>
    <col min="3585" max="3585" width="14.7109375" style="4" customWidth="1"/>
    <col min="3586" max="3586" width="2.7109375" style="4" customWidth="1"/>
    <col min="3587" max="3587" width="2.42578125" style="4" customWidth="1"/>
    <col min="3588" max="3588" width="28.7109375" style="4" customWidth="1"/>
    <col min="3589" max="3833" width="8.85546875" style="4"/>
    <col min="3834" max="3835" width="2.7109375" style="4" customWidth="1"/>
    <col min="3836" max="3836" width="7" style="4" customWidth="1"/>
    <col min="3837" max="3837" width="2.42578125" style="4" customWidth="1"/>
    <col min="3838" max="3838" width="5.7109375" style="4" customWidth="1"/>
    <col min="3839" max="3839" width="68.7109375" style="4" customWidth="1"/>
    <col min="3840" max="3840" width="2.7109375" style="4" customWidth="1"/>
    <col min="3841" max="3841" width="14.7109375" style="4" customWidth="1"/>
    <col min="3842" max="3842" width="2.7109375" style="4" customWidth="1"/>
    <col min="3843" max="3843" width="2.42578125" style="4" customWidth="1"/>
    <col min="3844" max="3844" width="28.7109375" style="4" customWidth="1"/>
    <col min="3845" max="4089" width="8.85546875" style="4"/>
    <col min="4090" max="4091" width="2.7109375" style="4" customWidth="1"/>
    <col min="4092" max="4092" width="7" style="4" customWidth="1"/>
    <col min="4093" max="4093" width="2.42578125" style="4" customWidth="1"/>
    <col min="4094" max="4094" width="5.7109375" style="4" customWidth="1"/>
    <col min="4095" max="4095" width="68.7109375" style="4" customWidth="1"/>
    <col min="4096" max="4096" width="2.7109375" style="4" customWidth="1"/>
    <col min="4097" max="4097" width="14.7109375" style="4" customWidth="1"/>
    <col min="4098" max="4098" width="2.7109375" style="4" customWidth="1"/>
    <col min="4099" max="4099" width="2.42578125" style="4" customWidth="1"/>
    <col min="4100" max="4100" width="28.7109375" style="4" customWidth="1"/>
    <col min="4101" max="4345" width="8.85546875" style="4"/>
    <col min="4346" max="4347" width="2.7109375" style="4" customWidth="1"/>
    <col min="4348" max="4348" width="7" style="4" customWidth="1"/>
    <col min="4349" max="4349" width="2.42578125" style="4" customWidth="1"/>
    <col min="4350" max="4350" width="5.7109375" style="4" customWidth="1"/>
    <col min="4351" max="4351" width="68.7109375" style="4" customWidth="1"/>
    <col min="4352" max="4352" width="2.7109375" style="4" customWidth="1"/>
    <col min="4353" max="4353" width="14.7109375" style="4" customWidth="1"/>
    <col min="4354" max="4354" width="2.7109375" style="4" customWidth="1"/>
    <col min="4355" max="4355" width="2.42578125" style="4" customWidth="1"/>
    <col min="4356" max="4356" width="28.7109375" style="4" customWidth="1"/>
    <col min="4357" max="4601" width="8.85546875" style="4"/>
    <col min="4602" max="4603" width="2.7109375" style="4" customWidth="1"/>
    <col min="4604" max="4604" width="7" style="4" customWidth="1"/>
    <col min="4605" max="4605" width="2.42578125" style="4" customWidth="1"/>
    <col min="4606" max="4606" width="5.7109375" style="4" customWidth="1"/>
    <col min="4607" max="4607" width="68.7109375" style="4" customWidth="1"/>
    <col min="4608" max="4608" width="2.7109375" style="4" customWidth="1"/>
    <col min="4609" max="4609" width="14.7109375" style="4" customWidth="1"/>
    <col min="4610" max="4610" width="2.7109375" style="4" customWidth="1"/>
    <col min="4611" max="4611" width="2.42578125" style="4" customWidth="1"/>
    <col min="4612" max="4612" width="28.7109375" style="4" customWidth="1"/>
    <col min="4613" max="4857" width="8.85546875" style="4"/>
    <col min="4858" max="4859" width="2.7109375" style="4" customWidth="1"/>
    <col min="4860" max="4860" width="7" style="4" customWidth="1"/>
    <col min="4861" max="4861" width="2.42578125" style="4" customWidth="1"/>
    <col min="4862" max="4862" width="5.7109375" style="4" customWidth="1"/>
    <col min="4863" max="4863" width="68.7109375" style="4" customWidth="1"/>
    <col min="4864" max="4864" width="2.7109375" style="4" customWidth="1"/>
    <col min="4865" max="4865" width="14.7109375" style="4" customWidth="1"/>
    <col min="4866" max="4866" width="2.7109375" style="4" customWidth="1"/>
    <col min="4867" max="4867" width="2.42578125" style="4" customWidth="1"/>
    <col min="4868" max="4868" width="28.7109375" style="4" customWidth="1"/>
    <col min="4869" max="5113" width="8.85546875" style="4"/>
    <col min="5114" max="5115" width="2.7109375" style="4" customWidth="1"/>
    <col min="5116" max="5116" width="7" style="4" customWidth="1"/>
    <col min="5117" max="5117" width="2.42578125" style="4" customWidth="1"/>
    <col min="5118" max="5118" width="5.7109375" style="4" customWidth="1"/>
    <col min="5119" max="5119" width="68.7109375" style="4" customWidth="1"/>
    <col min="5120" max="5120" width="2.7109375" style="4" customWidth="1"/>
    <col min="5121" max="5121" width="14.7109375" style="4" customWidth="1"/>
    <col min="5122" max="5122" width="2.7109375" style="4" customWidth="1"/>
    <col min="5123" max="5123" width="2.42578125" style="4" customWidth="1"/>
    <col min="5124" max="5124" width="28.7109375" style="4" customWidth="1"/>
    <col min="5125" max="5369" width="8.85546875" style="4"/>
    <col min="5370" max="5371" width="2.7109375" style="4" customWidth="1"/>
    <col min="5372" max="5372" width="7" style="4" customWidth="1"/>
    <col min="5373" max="5373" width="2.42578125" style="4" customWidth="1"/>
    <col min="5374" max="5374" width="5.7109375" style="4" customWidth="1"/>
    <col min="5375" max="5375" width="68.7109375" style="4" customWidth="1"/>
    <col min="5376" max="5376" width="2.7109375" style="4" customWidth="1"/>
    <col min="5377" max="5377" width="14.7109375" style="4" customWidth="1"/>
    <col min="5378" max="5378" width="2.7109375" style="4" customWidth="1"/>
    <col min="5379" max="5379" width="2.42578125" style="4" customWidth="1"/>
    <col min="5380" max="5380" width="28.7109375" style="4" customWidth="1"/>
    <col min="5381" max="5625" width="8.85546875" style="4"/>
    <col min="5626" max="5627" width="2.7109375" style="4" customWidth="1"/>
    <col min="5628" max="5628" width="7" style="4" customWidth="1"/>
    <col min="5629" max="5629" width="2.42578125" style="4" customWidth="1"/>
    <col min="5630" max="5630" width="5.7109375" style="4" customWidth="1"/>
    <col min="5631" max="5631" width="68.7109375" style="4" customWidth="1"/>
    <col min="5632" max="5632" width="2.7109375" style="4" customWidth="1"/>
    <col min="5633" max="5633" width="14.7109375" style="4" customWidth="1"/>
    <col min="5634" max="5634" width="2.7109375" style="4" customWidth="1"/>
    <col min="5635" max="5635" width="2.42578125" style="4" customWidth="1"/>
    <col min="5636" max="5636" width="28.7109375" style="4" customWidth="1"/>
    <col min="5637" max="5881" width="8.85546875" style="4"/>
    <col min="5882" max="5883" width="2.7109375" style="4" customWidth="1"/>
    <col min="5884" max="5884" width="7" style="4" customWidth="1"/>
    <col min="5885" max="5885" width="2.42578125" style="4" customWidth="1"/>
    <col min="5886" max="5886" width="5.7109375" style="4" customWidth="1"/>
    <col min="5887" max="5887" width="68.7109375" style="4" customWidth="1"/>
    <col min="5888" max="5888" width="2.7109375" style="4" customWidth="1"/>
    <col min="5889" max="5889" width="14.7109375" style="4" customWidth="1"/>
    <col min="5890" max="5890" width="2.7109375" style="4" customWidth="1"/>
    <col min="5891" max="5891" width="2.42578125" style="4" customWidth="1"/>
    <col min="5892" max="5892" width="28.7109375" style="4" customWidth="1"/>
    <col min="5893" max="6137" width="8.85546875" style="4"/>
    <col min="6138" max="6139" width="2.7109375" style="4" customWidth="1"/>
    <col min="6140" max="6140" width="7" style="4" customWidth="1"/>
    <col min="6141" max="6141" width="2.42578125" style="4" customWidth="1"/>
    <col min="6142" max="6142" width="5.7109375" style="4" customWidth="1"/>
    <col min="6143" max="6143" width="68.7109375" style="4" customWidth="1"/>
    <col min="6144" max="6144" width="2.7109375" style="4" customWidth="1"/>
    <col min="6145" max="6145" width="14.7109375" style="4" customWidth="1"/>
    <col min="6146" max="6146" width="2.7109375" style="4" customWidth="1"/>
    <col min="6147" max="6147" width="2.42578125" style="4" customWidth="1"/>
    <col min="6148" max="6148" width="28.7109375" style="4" customWidth="1"/>
    <col min="6149" max="6393" width="8.85546875" style="4"/>
    <col min="6394" max="6395" width="2.7109375" style="4" customWidth="1"/>
    <col min="6396" max="6396" width="7" style="4" customWidth="1"/>
    <col min="6397" max="6397" width="2.42578125" style="4" customWidth="1"/>
    <col min="6398" max="6398" width="5.7109375" style="4" customWidth="1"/>
    <col min="6399" max="6399" width="68.7109375" style="4" customWidth="1"/>
    <col min="6400" max="6400" width="2.7109375" style="4" customWidth="1"/>
    <col min="6401" max="6401" width="14.7109375" style="4" customWidth="1"/>
    <col min="6402" max="6402" width="2.7109375" style="4" customWidth="1"/>
    <col min="6403" max="6403" width="2.42578125" style="4" customWidth="1"/>
    <col min="6404" max="6404" width="28.7109375" style="4" customWidth="1"/>
    <col min="6405" max="6649" width="8.85546875" style="4"/>
    <col min="6650" max="6651" width="2.7109375" style="4" customWidth="1"/>
    <col min="6652" max="6652" width="7" style="4" customWidth="1"/>
    <col min="6653" max="6653" width="2.42578125" style="4" customWidth="1"/>
    <col min="6654" max="6654" width="5.7109375" style="4" customWidth="1"/>
    <col min="6655" max="6655" width="68.7109375" style="4" customWidth="1"/>
    <col min="6656" max="6656" width="2.7109375" style="4" customWidth="1"/>
    <col min="6657" max="6657" width="14.7109375" style="4" customWidth="1"/>
    <col min="6658" max="6658" width="2.7109375" style="4" customWidth="1"/>
    <col min="6659" max="6659" width="2.42578125" style="4" customWidth="1"/>
    <col min="6660" max="6660" width="28.7109375" style="4" customWidth="1"/>
    <col min="6661" max="6905" width="8.85546875" style="4"/>
    <col min="6906" max="6907" width="2.7109375" style="4" customWidth="1"/>
    <col min="6908" max="6908" width="7" style="4" customWidth="1"/>
    <col min="6909" max="6909" width="2.42578125" style="4" customWidth="1"/>
    <col min="6910" max="6910" width="5.7109375" style="4" customWidth="1"/>
    <col min="6911" max="6911" width="68.7109375" style="4" customWidth="1"/>
    <col min="6912" max="6912" width="2.7109375" style="4" customWidth="1"/>
    <col min="6913" max="6913" width="14.7109375" style="4" customWidth="1"/>
    <col min="6914" max="6914" width="2.7109375" style="4" customWidth="1"/>
    <col min="6915" max="6915" width="2.42578125" style="4" customWidth="1"/>
    <col min="6916" max="6916" width="28.7109375" style="4" customWidth="1"/>
    <col min="6917" max="7161" width="8.85546875" style="4"/>
    <col min="7162" max="7163" width="2.7109375" style="4" customWidth="1"/>
    <col min="7164" max="7164" width="7" style="4" customWidth="1"/>
    <col min="7165" max="7165" width="2.42578125" style="4" customWidth="1"/>
    <col min="7166" max="7166" width="5.7109375" style="4" customWidth="1"/>
    <col min="7167" max="7167" width="68.7109375" style="4" customWidth="1"/>
    <col min="7168" max="7168" width="2.7109375" style="4" customWidth="1"/>
    <col min="7169" max="7169" width="14.7109375" style="4" customWidth="1"/>
    <col min="7170" max="7170" width="2.7109375" style="4" customWidth="1"/>
    <col min="7171" max="7171" width="2.42578125" style="4" customWidth="1"/>
    <col min="7172" max="7172" width="28.7109375" style="4" customWidth="1"/>
    <col min="7173" max="7417" width="8.85546875" style="4"/>
    <col min="7418" max="7419" width="2.7109375" style="4" customWidth="1"/>
    <col min="7420" max="7420" width="7" style="4" customWidth="1"/>
    <col min="7421" max="7421" width="2.42578125" style="4" customWidth="1"/>
    <col min="7422" max="7422" width="5.7109375" style="4" customWidth="1"/>
    <col min="7423" max="7423" width="68.7109375" style="4" customWidth="1"/>
    <col min="7424" max="7424" width="2.7109375" style="4" customWidth="1"/>
    <col min="7425" max="7425" width="14.7109375" style="4" customWidth="1"/>
    <col min="7426" max="7426" width="2.7109375" style="4" customWidth="1"/>
    <col min="7427" max="7427" width="2.42578125" style="4" customWidth="1"/>
    <col min="7428" max="7428" width="28.7109375" style="4" customWidth="1"/>
    <col min="7429" max="7673" width="8.85546875" style="4"/>
    <col min="7674" max="7675" width="2.7109375" style="4" customWidth="1"/>
    <col min="7676" max="7676" width="7" style="4" customWidth="1"/>
    <col min="7677" max="7677" width="2.42578125" style="4" customWidth="1"/>
    <col min="7678" max="7678" width="5.7109375" style="4" customWidth="1"/>
    <col min="7679" max="7679" width="68.7109375" style="4" customWidth="1"/>
    <col min="7680" max="7680" width="2.7109375" style="4" customWidth="1"/>
    <col min="7681" max="7681" width="14.7109375" style="4" customWidth="1"/>
    <col min="7682" max="7682" width="2.7109375" style="4" customWidth="1"/>
    <col min="7683" max="7683" width="2.42578125" style="4" customWidth="1"/>
    <col min="7684" max="7684" width="28.7109375" style="4" customWidth="1"/>
    <col min="7685" max="7929" width="8.85546875" style="4"/>
    <col min="7930" max="7931" width="2.7109375" style="4" customWidth="1"/>
    <col min="7932" max="7932" width="7" style="4" customWidth="1"/>
    <col min="7933" max="7933" width="2.42578125" style="4" customWidth="1"/>
    <col min="7934" max="7934" width="5.7109375" style="4" customWidth="1"/>
    <col min="7935" max="7935" width="68.7109375" style="4" customWidth="1"/>
    <col min="7936" max="7936" width="2.7109375" style="4" customWidth="1"/>
    <col min="7937" max="7937" width="14.7109375" style="4" customWidth="1"/>
    <col min="7938" max="7938" width="2.7109375" style="4" customWidth="1"/>
    <col min="7939" max="7939" width="2.42578125" style="4" customWidth="1"/>
    <col min="7940" max="7940" width="28.7109375" style="4" customWidth="1"/>
    <col min="7941" max="8185" width="8.85546875" style="4"/>
    <col min="8186" max="8187" width="2.7109375" style="4" customWidth="1"/>
    <col min="8188" max="8188" width="7" style="4" customWidth="1"/>
    <col min="8189" max="8189" width="2.42578125" style="4" customWidth="1"/>
    <col min="8190" max="8190" width="5.7109375" style="4" customWidth="1"/>
    <col min="8191" max="8191" width="68.7109375" style="4" customWidth="1"/>
    <col min="8192" max="8192" width="2.7109375" style="4" customWidth="1"/>
    <col min="8193" max="8193" width="14.7109375" style="4" customWidth="1"/>
    <col min="8194" max="8194" width="2.7109375" style="4" customWidth="1"/>
    <col min="8195" max="8195" width="2.42578125" style="4" customWidth="1"/>
    <col min="8196" max="8196" width="28.7109375" style="4" customWidth="1"/>
    <col min="8197" max="8441" width="8.85546875" style="4"/>
    <col min="8442" max="8443" width="2.7109375" style="4" customWidth="1"/>
    <col min="8444" max="8444" width="7" style="4" customWidth="1"/>
    <col min="8445" max="8445" width="2.42578125" style="4" customWidth="1"/>
    <col min="8446" max="8446" width="5.7109375" style="4" customWidth="1"/>
    <col min="8447" max="8447" width="68.7109375" style="4" customWidth="1"/>
    <col min="8448" max="8448" width="2.7109375" style="4" customWidth="1"/>
    <col min="8449" max="8449" width="14.7109375" style="4" customWidth="1"/>
    <col min="8450" max="8450" width="2.7109375" style="4" customWidth="1"/>
    <col min="8451" max="8451" width="2.42578125" style="4" customWidth="1"/>
    <col min="8452" max="8452" width="28.7109375" style="4" customWidth="1"/>
    <col min="8453" max="8697" width="8.85546875" style="4"/>
    <col min="8698" max="8699" width="2.7109375" style="4" customWidth="1"/>
    <col min="8700" max="8700" width="7" style="4" customWidth="1"/>
    <col min="8701" max="8701" width="2.42578125" style="4" customWidth="1"/>
    <col min="8702" max="8702" width="5.7109375" style="4" customWidth="1"/>
    <col min="8703" max="8703" width="68.7109375" style="4" customWidth="1"/>
    <col min="8704" max="8704" width="2.7109375" style="4" customWidth="1"/>
    <col min="8705" max="8705" width="14.7109375" style="4" customWidth="1"/>
    <col min="8706" max="8706" width="2.7109375" style="4" customWidth="1"/>
    <col min="8707" max="8707" width="2.42578125" style="4" customWidth="1"/>
    <col min="8708" max="8708" width="28.7109375" style="4" customWidth="1"/>
    <col min="8709" max="8953" width="8.85546875" style="4"/>
    <col min="8954" max="8955" width="2.7109375" style="4" customWidth="1"/>
    <col min="8956" max="8956" width="7" style="4" customWidth="1"/>
    <col min="8957" max="8957" width="2.42578125" style="4" customWidth="1"/>
    <col min="8958" max="8958" width="5.7109375" style="4" customWidth="1"/>
    <col min="8959" max="8959" width="68.7109375" style="4" customWidth="1"/>
    <col min="8960" max="8960" width="2.7109375" style="4" customWidth="1"/>
    <col min="8961" max="8961" width="14.7109375" style="4" customWidth="1"/>
    <col min="8962" max="8962" width="2.7109375" style="4" customWidth="1"/>
    <col min="8963" max="8963" width="2.42578125" style="4" customWidth="1"/>
    <col min="8964" max="8964" width="28.7109375" style="4" customWidth="1"/>
    <col min="8965" max="9209" width="8.85546875" style="4"/>
    <col min="9210" max="9211" width="2.7109375" style="4" customWidth="1"/>
    <col min="9212" max="9212" width="7" style="4" customWidth="1"/>
    <col min="9213" max="9213" width="2.42578125" style="4" customWidth="1"/>
    <col min="9214" max="9214" width="5.7109375" style="4" customWidth="1"/>
    <col min="9215" max="9215" width="68.7109375" style="4" customWidth="1"/>
    <col min="9216" max="9216" width="2.7109375" style="4" customWidth="1"/>
    <col min="9217" max="9217" width="14.7109375" style="4" customWidth="1"/>
    <col min="9218" max="9218" width="2.7109375" style="4" customWidth="1"/>
    <col min="9219" max="9219" width="2.42578125" style="4" customWidth="1"/>
    <col min="9220" max="9220" width="28.7109375" style="4" customWidth="1"/>
    <col min="9221" max="9465" width="8.85546875" style="4"/>
    <col min="9466" max="9467" width="2.7109375" style="4" customWidth="1"/>
    <col min="9468" max="9468" width="7" style="4" customWidth="1"/>
    <col min="9469" max="9469" width="2.42578125" style="4" customWidth="1"/>
    <col min="9470" max="9470" width="5.7109375" style="4" customWidth="1"/>
    <col min="9471" max="9471" width="68.7109375" style="4" customWidth="1"/>
    <col min="9472" max="9472" width="2.7109375" style="4" customWidth="1"/>
    <col min="9473" max="9473" width="14.7109375" style="4" customWidth="1"/>
    <col min="9474" max="9474" width="2.7109375" style="4" customWidth="1"/>
    <col min="9475" max="9475" width="2.42578125" style="4" customWidth="1"/>
    <col min="9476" max="9476" width="28.7109375" style="4" customWidth="1"/>
    <col min="9477" max="9721" width="8.85546875" style="4"/>
    <col min="9722" max="9723" width="2.7109375" style="4" customWidth="1"/>
    <col min="9724" max="9724" width="7" style="4" customWidth="1"/>
    <col min="9725" max="9725" width="2.42578125" style="4" customWidth="1"/>
    <col min="9726" max="9726" width="5.7109375" style="4" customWidth="1"/>
    <col min="9727" max="9727" width="68.7109375" style="4" customWidth="1"/>
    <col min="9728" max="9728" width="2.7109375" style="4" customWidth="1"/>
    <col min="9729" max="9729" width="14.7109375" style="4" customWidth="1"/>
    <col min="9730" max="9730" width="2.7109375" style="4" customWidth="1"/>
    <col min="9731" max="9731" width="2.42578125" style="4" customWidth="1"/>
    <col min="9732" max="9732" width="28.7109375" style="4" customWidth="1"/>
    <col min="9733" max="9977" width="8.85546875" style="4"/>
    <col min="9978" max="9979" width="2.7109375" style="4" customWidth="1"/>
    <col min="9980" max="9980" width="7" style="4" customWidth="1"/>
    <col min="9981" max="9981" width="2.42578125" style="4" customWidth="1"/>
    <col min="9982" max="9982" width="5.7109375" style="4" customWidth="1"/>
    <col min="9983" max="9983" width="68.7109375" style="4" customWidth="1"/>
    <col min="9984" max="9984" width="2.7109375" style="4" customWidth="1"/>
    <col min="9985" max="9985" width="14.7109375" style="4" customWidth="1"/>
    <col min="9986" max="9986" width="2.7109375" style="4" customWidth="1"/>
    <col min="9987" max="9987" width="2.42578125" style="4" customWidth="1"/>
    <col min="9988" max="9988" width="28.7109375" style="4" customWidth="1"/>
    <col min="9989" max="10233" width="8.85546875" style="4"/>
    <col min="10234" max="10235" width="2.7109375" style="4" customWidth="1"/>
    <col min="10236" max="10236" width="7" style="4" customWidth="1"/>
    <col min="10237" max="10237" width="2.42578125" style="4" customWidth="1"/>
    <col min="10238" max="10238" width="5.7109375" style="4" customWidth="1"/>
    <col min="10239" max="10239" width="68.7109375" style="4" customWidth="1"/>
    <col min="10240" max="10240" width="2.7109375" style="4" customWidth="1"/>
    <col min="10241" max="10241" width="14.7109375" style="4" customWidth="1"/>
    <col min="10242" max="10242" width="2.7109375" style="4" customWidth="1"/>
    <col min="10243" max="10243" width="2.42578125" style="4" customWidth="1"/>
    <col min="10244" max="10244" width="28.7109375" style="4" customWidth="1"/>
    <col min="10245" max="10489" width="8.85546875" style="4"/>
    <col min="10490" max="10491" width="2.7109375" style="4" customWidth="1"/>
    <col min="10492" max="10492" width="7" style="4" customWidth="1"/>
    <col min="10493" max="10493" width="2.42578125" style="4" customWidth="1"/>
    <col min="10494" max="10494" width="5.7109375" style="4" customWidth="1"/>
    <col min="10495" max="10495" width="68.7109375" style="4" customWidth="1"/>
    <col min="10496" max="10496" width="2.7109375" style="4" customWidth="1"/>
    <col min="10497" max="10497" width="14.7109375" style="4" customWidth="1"/>
    <col min="10498" max="10498" width="2.7109375" style="4" customWidth="1"/>
    <col min="10499" max="10499" width="2.42578125" style="4" customWidth="1"/>
    <col min="10500" max="10500" width="28.7109375" style="4" customWidth="1"/>
    <col min="10501" max="10745" width="8.85546875" style="4"/>
    <col min="10746" max="10747" width="2.7109375" style="4" customWidth="1"/>
    <col min="10748" max="10748" width="7" style="4" customWidth="1"/>
    <col min="10749" max="10749" width="2.42578125" style="4" customWidth="1"/>
    <col min="10750" max="10750" width="5.7109375" style="4" customWidth="1"/>
    <col min="10751" max="10751" width="68.7109375" style="4" customWidth="1"/>
    <col min="10752" max="10752" width="2.7109375" style="4" customWidth="1"/>
    <col min="10753" max="10753" width="14.7109375" style="4" customWidth="1"/>
    <col min="10754" max="10754" width="2.7109375" style="4" customWidth="1"/>
    <col min="10755" max="10755" width="2.42578125" style="4" customWidth="1"/>
    <col min="10756" max="10756" width="28.7109375" style="4" customWidth="1"/>
    <col min="10757" max="11001" width="8.85546875" style="4"/>
    <col min="11002" max="11003" width="2.7109375" style="4" customWidth="1"/>
    <col min="11004" max="11004" width="7" style="4" customWidth="1"/>
    <col min="11005" max="11005" width="2.42578125" style="4" customWidth="1"/>
    <col min="11006" max="11006" width="5.7109375" style="4" customWidth="1"/>
    <col min="11007" max="11007" width="68.7109375" style="4" customWidth="1"/>
    <col min="11008" max="11008" width="2.7109375" style="4" customWidth="1"/>
    <col min="11009" max="11009" width="14.7109375" style="4" customWidth="1"/>
    <col min="11010" max="11010" width="2.7109375" style="4" customWidth="1"/>
    <col min="11011" max="11011" width="2.42578125" style="4" customWidth="1"/>
    <col min="11012" max="11012" width="28.7109375" style="4" customWidth="1"/>
    <col min="11013" max="11257" width="8.85546875" style="4"/>
    <col min="11258" max="11259" width="2.7109375" style="4" customWidth="1"/>
    <col min="11260" max="11260" width="7" style="4" customWidth="1"/>
    <col min="11261" max="11261" width="2.42578125" style="4" customWidth="1"/>
    <col min="11262" max="11262" width="5.7109375" style="4" customWidth="1"/>
    <col min="11263" max="11263" width="68.7109375" style="4" customWidth="1"/>
    <col min="11264" max="11264" width="2.7109375" style="4" customWidth="1"/>
    <col min="11265" max="11265" width="14.7109375" style="4" customWidth="1"/>
    <col min="11266" max="11266" width="2.7109375" style="4" customWidth="1"/>
    <col min="11267" max="11267" width="2.42578125" style="4" customWidth="1"/>
    <col min="11268" max="11268" width="28.7109375" style="4" customWidth="1"/>
    <col min="11269" max="11513" width="8.85546875" style="4"/>
    <col min="11514" max="11515" width="2.7109375" style="4" customWidth="1"/>
    <col min="11516" max="11516" width="7" style="4" customWidth="1"/>
    <col min="11517" max="11517" width="2.42578125" style="4" customWidth="1"/>
    <col min="11518" max="11518" width="5.7109375" style="4" customWidth="1"/>
    <col min="11519" max="11519" width="68.7109375" style="4" customWidth="1"/>
    <col min="11520" max="11520" width="2.7109375" style="4" customWidth="1"/>
    <col min="11521" max="11521" width="14.7109375" style="4" customWidth="1"/>
    <col min="11522" max="11522" width="2.7109375" style="4" customWidth="1"/>
    <col min="11523" max="11523" width="2.42578125" style="4" customWidth="1"/>
    <col min="11524" max="11524" width="28.7109375" style="4" customWidth="1"/>
    <col min="11525" max="11769" width="8.85546875" style="4"/>
    <col min="11770" max="11771" width="2.7109375" style="4" customWidth="1"/>
    <col min="11772" max="11772" width="7" style="4" customWidth="1"/>
    <col min="11773" max="11773" width="2.42578125" style="4" customWidth="1"/>
    <col min="11774" max="11774" width="5.7109375" style="4" customWidth="1"/>
    <col min="11775" max="11775" width="68.7109375" style="4" customWidth="1"/>
    <col min="11776" max="11776" width="2.7109375" style="4" customWidth="1"/>
    <col min="11777" max="11777" width="14.7109375" style="4" customWidth="1"/>
    <col min="11778" max="11778" width="2.7109375" style="4" customWidth="1"/>
    <col min="11779" max="11779" width="2.42578125" style="4" customWidth="1"/>
    <col min="11780" max="11780" width="28.7109375" style="4" customWidth="1"/>
    <col min="11781" max="12025" width="8.85546875" style="4"/>
    <col min="12026" max="12027" width="2.7109375" style="4" customWidth="1"/>
    <col min="12028" max="12028" width="7" style="4" customWidth="1"/>
    <col min="12029" max="12029" width="2.42578125" style="4" customWidth="1"/>
    <col min="12030" max="12030" width="5.7109375" style="4" customWidth="1"/>
    <col min="12031" max="12031" width="68.7109375" style="4" customWidth="1"/>
    <col min="12032" max="12032" width="2.7109375" style="4" customWidth="1"/>
    <col min="12033" max="12033" width="14.7109375" style="4" customWidth="1"/>
    <col min="12034" max="12034" width="2.7109375" style="4" customWidth="1"/>
    <col min="12035" max="12035" width="2.42578125" style="4" customWidth="1"/>
    <col min="12036" max="12036" width="28.7109375" style="4" customWidth="1"/>
    <col min="12037" max="12281" width="8.85546875" style="4"/>
    <col min="12282" max="12283" width="2.7109375" style="4" customWidth="1"/>
    <col min="12284" max="12284" width="7" style="4" customWidth="1"/>
    <col min="12285" max="12285" width="2.42578125" style="4" customWidth="1"/>
    <col min="12286" max="12286" width="5.7109375" style="4" customWidth="1"/>
    <col min="12287" max="12287" width="68.7109375" style="4" customWidth="1"/>
    <col min="12288" max="12288" width="2.7109375" style="4" customWidth="1"/>
    <col min="12289" max="12289" width="14.7109375" style="4" customWidth="1"/>
    <col min="12290" max="12290" width="2.7109375" style="4" customWidth="1"/>
    <col min="12291" max="12291" width="2.42578125" style="4" customWidth="1"/>
    <col min="12292" max="12292" width="28.7109375" style="4" customWidth="1"/>
    <col min="12293" max="12537" width="8.85546875" style="4"/>
    <col min="12538" max="12539" width="2.7109375" style="4" customWidth="1"/>
    <col min="12540" max="12540" width="7" style="4" customWidth="1"/>
    <col min="12541" max="12541" width="2.42578125" style="4" customWidth="1"/>
    <col min="12542" max="12542" width="5.7109375" style="4" customWidth="1"/>
    <col min="12543" max="12543" width="68.7109375" style="4" customWidth="1"/>
    <col min="12544" max="12544" width="2.7109375" style="4" customWidth="1"/>
    <col min="12545" max="12545" width="14.7109375" style="4" customWidth="1"/>
    <col min="12546" max="12546" width="2.7109375" style="4" customWidth="1"/>
    <col min="12547" max="12547" width="2.42578125" style="4" customWidth="1"/>
    <col min="12548" max="12548" width="28.7109375" style="4" customWidth="1"/>
    <col min="12549" max="12793" width="8.85546875" style="4"/>
    <col min="12794" max="12795" width="2.7109375" style="4" customWidth="1"/>
    <col min="12796" max="12796" width="7" style="4" customWidth="1"/>
    <col min="12797" max="12797" width="2.42578125" style="4" customWidth="1"/>
    <col min="12798" max="12798" width="5.7109375" style="4" customWidth="1"/>
    <col min="12799" max="12799" width="68.7109375" style="4" customWidth="1"/>
    <col min="12800" max="12800" width="2.7109375" style="4" customWidth="1"/>
    <col min="12801" max="12801" width="14.7109375" style="4" customWidth="1"/>
    <col min="12802" max="12802" width="2.7109375" style="4" customWidth="1"/>
    <col min="12803" max="12803" width="2.42578125" style="4" customWidth="1"/>
    <col min="12804" max="12804" width="28.7109375" style="4" customWidth="1"/>
    <col min="12805" max="13049" width="8.85546875" style="4"/>
    <col min="13050" max="13051" width="2.7109375" style="4" customWidth="1"/>
    <col min="13052" max="13052" width="7" style="4" customWidth="1"/>
    <col min="13053" max="13053" width="2.42578125" style="4" customWidth="1"/>
    <col min="13054" max="13054" width="5.7109375" style="4" customWidth="1"/>
    <col min="13055" max="13055" width="68.7109375" style="4" customWidth="1"/>
    <col min="13056" max="13056" width="2.7109375" style="4" customWidth="1"/>
    <col min="13057" max="13057" width="14.7109375" style="4" customWidth="1"/>
    <col min="13058" max="13058" width="2.7109375" style="4" customWidth="1"/>
    <col min="13059" max="13059" width="2.42578125" style="4" customWidth="1"/>
    <col min="13060" max="13060" width="28.7109375" style="4" customWidth="1"/>
    <col min="13061" max="13305" width="8.85546875" style="4"/>
    <col min="13306" max="13307" width="2.7109375" style="4" customWidth="1"/>
    <col min="13308" max="13308" width="7" style="4" customWidth="1"/>
    <col min="13309" max="13309" width="2.42578125" style="4" customWidth="1"/>
    <col min="13310" max="13310" width="5.7109375" style="4" customWidth="1"/>
    <col min="13311" max="13311" width="68.7109375" style="4" customWidth="1"/>
    <col min="13312" max="13312" width="2.7109375" style="4" customWidth="1"/>
    <col min="13313" max="13313" width="14.7109375" style="4" customWidth="1"/>
    <col min="13314" max="13314" width="2.7109375" style="4" customWidth="1"/>
    <col min="13315" max="13315" width="2.42578125" style="4" customWidth="1"/>
    <col min="13316" max="13316" width="28.7109375" style="4" customWidth="1"/>
    <col min="13317" max="13561" width="8.85546875" style="4"/>
    <col min="13562" max="13563" width="2.7109375" style="4" customWidth="1"/>
    <col min="13564" max="13564" width="7" style="4" customWidth="1"/>
    <col min="13565" max="13565" width="2.42578125" style="4" customWidth="1"/>
    <col min="13566" max="13566" width="5.7109375" style="4" customWidth="1"/>
    <col min="13567" max="13567" width="68.7109375" style="4" customWidth="1"/>
    <col min="13568" max="13568" width="2.7109375" style="4" customWidth="1"/>
    <col min="13569" max="13569" width="14.7109375" style="4" customWidth="1"/>
    <col min="13570" max="13570" width="2.7109375" style="4" customWidth="1"/>
    <col min="13571" max="13571" width="2.42578125" style="4" customWidth="1"/>
    <col min="13572" max="13572" width="28.7109375" style="4" customWidth="1"/>
    <col min="13573" max="13817" width="8.85546875" style="4"/>
    <col min="13818" max="13819" width="2.7109375" style="4" customWidth="1"/>
    <col min="13820" max="13820" width="7" style="4" customWidth="1"/>
    <col min="13821" max="13821" width="2.42578125" style="4" customWidth="1"/>
    <col min="13822" max="13822" width="5.7109375" style="4" customWidth="1"/>
    <col min="13823" max="13823" width="68.7109375" style="4" customWidth="1"/>
    <col min="13824" max="13824" width="2.7109375" style="4" customWidth="1"/>
    <col min="13825" max="13825" width="14.7109375" style="4" customWidth="1"/>
    <col min="13826" max="13826" width="2.7109375" style="4" customWidth="1"/>
    <col min="13827" max="13827" width="2.42578125" style="4" customWidth="1"/>
    <col min="13828" max="13828" width="28.7109375" style="4" customWidth="1"/>
    <col min="13829" max="14073" width="8.85546875" style="4"/>
    <col min="14074" max="14075" width="2.7109375" style="4" customWidth="1"/>
    <col min="14076" max="14076" width="7" style="4" customWidth="1"/>
    <col min="14077" max="14077" width="2.42578125" style="4" customWidth="1"/>
    <col min="14078" max="14078" width="5.7109375" style="4" customWidth="1"/>
    <col min="14079" max="14079" width="68.7109375" style="4" customWidth="1"/>
    <col min="14080" max="14080" width="2.7109375" style="4" customWidth="1"/>
    <col min="14081" max="14081" width="14.7109375" style="4" customWidth="1"/>
    <col min="14082" max="14082" width="2.7109375" style="4" customWidth="1"/>
    <col min="14083" max="14083" width="2.42578125" style="4" customWidth="1"/>
    <col min="14084" max="14084" width="28.7109375" style="4" customWidth="1"/>
    <col min="14085" max="14329" width="8.85546875" style="4"/>
    <col min="14330" max="14331" width="2.7109375" style="4" customWidth="1"/>
    <col min="14332" max="14332" width="7" style="4" customWidth="1"/>
    <col min="14333" max="14333" width="2.42578125" style="4" customWidth="1"/>
    <col min="14334" max="14334" width="5.7109375" style="4" customWidth="1"/>
    <col min="14335" max="14335" width="68.7109375" style="4" customWidth="1"/>
    <col min="14336" max="14336" width="2.7109375" style="4" customWidth="1"/>
    <col min="14337" max="14337" width="14.7109375" style="4" customWidth="1"/>
    <col min="14338" max="14338" width="2.7109375" style="4" customWidth="1"/>
    <col min="14339" max="14339" width="2.42578125" style="4" customWidth="1"/>
    <col min="14340" max="14340" width="28.7109375" style="4" customWidth="1"/>
    <col min="14341" max="14585" width="8.85546875" style="4"/>
    <col min="14586" max="14587" width="2.7109375" style="4" customWidth="1"/>
    <col min="14588" max="14588" width="7" style="4" customWidth="1"/>
    <col min="14589" max="14589" width="2.42578125" style="4" customWidth="1"/>
    <col min="14590" max="14590" width="5.7109375" style="4" customWidth="1"/>
    <col min="14591" max="14591" width="68.7109375" style="4" customWidth="1"/>
    <col min="14592" max="14592" width="2.7109375" style="4" customWidth="1"/>
    <col min="14593" max="14593" width="14.7109375" style="4" customWidth="1"/>
    <col min="14594" max="14594" width="2.7109375" style="4" customWidth="1"/>
    <col min="14595" max="14595" width="2.42578125" style="4" customWidth="1"/>
    <col min="14596" max="14596" width="28.7109375" style="4" customWidth="1"/>
    <col min="14597" max="14841" width="8.85546875" style="4"/>
    <col min="14842" max="14843" width="2.7109375" style="4" customWidth="1"/>
    <col min="14844" max="14844" width="7" style="4" customWidth="1"/>
    <col min="14845" max="14845" width="2.42578125" style="4" customWidth="1"/>
    <col min="14846" max="14846" width="5.7109375" style="4" customWidth="1"/>
    <col min="14847" max="14847" width="68.7109375" style="4" customWidth="1"/>
    <col min="14848" max="14848" width="2.7109375" style="4" customWidth="1"/>
    <col min="14849" max="14849" width="14.7109375" style="4" customWidth="1"/>
    <col min="14850" max="14850" width="2.7109375" style="4" customWidth="1"/>
    <col min="14851" max="14851" width="2.42578125" style="4" customWidth="1"/>
    <col min="14852" max="14852" width="28.7109375" style="4" customWidth="1"/>
    <col min="14853" max="15097" width="8.85546875" style="4"/>
    <col min="15098" max="15099" width="2.7109375" style="4" customWidth="1"/>
    <col min="15100" max="15100" width="7" style="4" customWidth="1"/>
    <col min="15101" max="15101" width="2.42578125" style="4" customWidth="1"/>
    <col min="15102" max="15102" width="5.7109375" style="4" customWidth="1"/>
    <col min="15103" max="15103" width="68.7109375" style="4" customWidth="1"/>
    <col min="15104" max="15104" width="2.7109375" style="4" customWidth="1"/>
    <col min="15105" max="15105" width="14.7109375" style="4" customWidth="1"/>
    <col min="15106" max="15106" width="2.7109375" style="4" customWidth="1"/>
    <col min="15107" max="15107" width="2.42578125" style="4" customWidth="1"/>
    <col min="15108" max="15108" width="28.7109375" style="4" customWidth="1"/>
    <col min="15109" max="15353" width="8.85546875" style="4"/>
    <col min="15354" max="15355" width="2.7109375" style="4" customWidth="1"/>
    <col min="15356" max="15356" width="7" style="4" customWidth="1"/>
    <col min="15357" max="15357" width="2.42578125" style="4" customWidth="1"/>
    <col min="15358" max="15358" width="5.7109375" style="4" customWidth="1"/>
    <col min="15359" max="15359" width="68.7109375" style="4" customWidth="1"/>
    <col min="15360" max="15360" width="2.7109375" style="4" customWidth="1"/>
    <col min="15361" max="15361" width="14.7109375" style="4" customWidth="1"/>
    <col min="15362" max="15362" width="2.7109375" style="4" customWidth="1"/>
    <col min="15363" max="15363" width="2.42578125" style="4" customWidth="1"/>
    <col min="15364" max="15364" width="28.7109375" style="4" customWidth="1"/>
    <col min="15365" max="15609" width="8.85546875" style="4"/>
    <col min="15610" max="15611" width="2.7109375" style="4" customWidth="1"/>
    <col min="15612" max="15612" width="7" style="4" customWidth="1"/>
    <col min="15613" max="15613" width="2.42578125" style="4" customWidth="1"/>
    <col min="15614" max="15614" width="5.7109375" style="4" customWidth="1"/>
    <col min="15615" max="15615" width="68.7109375" style="4" customWidth="1"/>
    <col min="15616" max="15616" width="2.7109375" style="4" customWidth="1"/>
    <col min="15617" max="15617" width="14.7109375" style="4" customWidth="1"/>
    <col min="15618" max="15618" width="2.7109375" style="4" customWidth="1"/>
    <col min="15619" max="15619" width="2.42578125" style="4" customWidth="1"/>
    <col min="15620" max="15620" width="28.7109375" style="4" customWidth="1"/>
    <col min="15621" max="15865" width="8.85546875" style="4"/>
    <col min="15866" max="15867" width="2.7109375" style="4" customWidth="1"/>
    <col min="15868" max="15868" width="7" style="4" customWidth="1"/>
    <col min="15869" max="15869" width="2.42578125" style="4" customWidth="1"/>
    <col min="15870" max="15870" width="5.7109375" style="4" customWidth="1"/>
    <col min="15871" max="15871" width="68.7109375" style="4" customWidth="1"/>
    <col min="15872" max="15872" width="2.7109375" style="4" customWidth="1"/>
    <col min="15873" max="15873" width="14.7109375" style="4" customWidth="1"/>
    <col min="15874" max="15874" width="2.7109375" style="4" customWidth="1"/>
    <col min="15875" max="15875" width="2.42578125" style="4" customWidth="1"/>
    <col min="15876" max="15876" width="28.7109375" style="4" customWidth="1"/>
    <col min="15877" max="16121" width="8.85546875" style="4"/>
    <col min="16122" max="16123" width="2.7109375" style="4" customWidth="1"/>
    <col min="16124" max="16124" width="7" style="4" customWidth="1"/>
    <col min="16125" max="16125" width="2.42578125" style="4" customWidth="1"/>
    <col min="16126" max="16126" width="5.7109375" style="4" customWidth="1"/>
    <col min="16127" max="16127" width="68.7109375" style="4" customWidth="1"/>
    <col min="16128" max="16128" width="2.7109375" style="4" customWidth="1"/>
    <col min="16129" max="16129" width="14.7109375" style="4" customWidth="1"/>
    <col min="16130" max="16130" width="2.7109375" style="4" customWidth="1"/>
    <col min="16131" max="16131" width="2.42578125" style="4" customWidth="1"/>
    <col min="16132" max="16132" width="28.7109375" style="4" customWidth="1"/>
    <col min="16133" max="16384" width="8.85546875" style="4"/>
  </cols>
  <sheetData>
    <row r="2" spans="2:14" ht="15" customHeight="1" x14ac:dyDescent="0.25">
      <c r="B2" s="1"/>
      <c r="C2" s="2">
        <v>1</v>
      </c>
      <c r="D2" s="2"/>
      <c r="E2" s="2"/>
      <c r="F2" s="2"/>
      <c r="G2" s="2"/>
      <c r="H2" s="2"/>
      <c r="I2" s="2"/>
      <c r="J2" s="2"/>
      <c r="K2" s="2"/>
      <c r="L2" s="2"/>
      <c r="M2" s="2"/>
      <c r="N2" s="3"/>
    </row>
    <row r="3" spans="2:14" ht="24.75" customHeight="1" x14ac:dyDescent="0.25">
      <c r="B3" s="5"/>
      <c r="C3" s="6">
        <v>1</v>
      </c>
      <c r="D3" s="7" t="s">
        <v>62</v>
      </c>
      <c r="E3" s="6"/>
      <c r="F3" s="6"/>
      <c r="G3" s="8"/>
      <c r="H3" s="8"/>
      <c r="I3" s="8"/>
      <c r="J3" s="8"/>
      <c r="K3" s="8"/>
      <c r="L3" s="8"/>
      <c r="M3" s="8"/>
      <c r="N3" s="9"/>
    </row>
    <row r="4" spans="2:14" ht="15" customHeight="1" x14ac:dyDescent="0.25">
      <c r="B4" s="5"/>
      <c r="C4" s="6">
        <v>1</v>
      </c>
      <c r="D4" s="10" t="s">
        <v>69</v>
      </c>
      <c r="E4" s="6"/>
      <c r="F4" s="11"/>
      <c r="G4" s="12"/>
      <c r="H4" s="8"/>
      <c r="I4" s="8"/>
      <c r="J4" s="8"/>
      <c r="K4" s="8"/>
      <c r="L4" s="8"/>
      <c r="M4" s="8"/>
      <c r="N4" s="13"/>
    </row>
    <row r="5" spans="2:14" ht="15" customHeight="1" x14ac:dyDescent="0.25">
      <c r="B5" s="5"/>
      <c r="C5" s="6">
        <v>1</v>
      </c>
      <c r="D5" s="10"/>
      <c r="E5" s="6"/>
      <c r="F5" s="11"/>
      <c r="G5" s="12"/>
      <c r="H5" s="8"/>
      <c r="I5" s="8"/>
      <c r="J5" s="8"/>
      <c r="K5" s="8"/>
      <c r="L5" s="8"/>
      <c r="M5" s="8"/>
      <c r="N5" s="13"/>
    </row>
    <row r="6" spans="2:14" ht="14.25" customHeight="1" x14ac:dyDescent="0.25">
      <c r="B6" s="5"/>
      <c r="C6" s="6">
        <v>1</v>
      </c>
      <c r="D6" s="38"/>
      <c r="E6" s="39"/>
      <c r="F6" s="40"/>
      <c r="G6" s="40"/>
      <c r="H6" s="41"/>
      <c r="I6" s="41"/>
      <c r="J6" s="41"/>
      <c r="K6" s="41"/>
      <c r="L6" s="41"/>
      <c r="M6" s="41"/>
      <c r="N6" s="15"/>
    </row>
    <row r="7" spans="2:14" ht="15" customHeight="1" x14ac:dyDescent="0.25">
      <c r="B7" s="5"/>
      <c r="C7" s="6">
        <v>1</v>
      </c>
      <c r="D7" s="16" t="s">
        <v>65</v>
      </c>
      <c r="E7" s="6"/>
      <c r="F7" s="11"/>
      <c r="G7" s="337">
        <v>0</v>
      </c>
      <c r="H7" s="507" t="str">
        <f>IF(AND(SUM(F7:F9)&gt;0,SUM(F7:F9)&lt;1),"ERROR: The total percentage of fixtures installed must equal 100.","")</f>
        <v/>
      </c>
      <c r="I7" s="508"/>
      <c r="J7" s="508"/>
      <c r="K7" s="508"/>
      <c r="L7" s="508"/>
      <c r="M7" s="508"/>
      <c r="N7" s="13"/>
    </row>
    <row r="8" spans="2:14" ht="9" customHeight="1" x14ac:dyDescent="0.25">
      <c r="B8" s="5"/>
      <c r="C8" s="6">
        <v>1</v>
      </c>
      <c r="D8" s="10"/>
      <c r="E8" s="6"/>
      <c r="F8" s="11"/>
      <c r="G8" s="12"/>
      <c r="H8" s="8"/>
      <c r="I8" s="8"/>
      <c r="J8" s="8"/>
      <c r="K8" s="8"/>
      <c r="L8" s="8"/>
      <c r="M8" s="8"/>
      <c r="N8" s="13"/>
    </row>
    <row r="9" spans="2:14" ht="15" customHeight="1" x14ac:dyDescent="0.25">
      <c r="B9" s="5"/>
      <c r="C9" s="6">
        <v>1</v>
      </c>
      <c r="D9" s="16" t="s">
        <v>66</v>
      </c>
      <c r="E9" s="6"/>
      <c r="F9" s="11"/>
      <c r="G9" s="337">
        <v>1</v>
      </c>
      <c r="H9" s="8"/>
      <c r="I9" s="8"/>
      <c r="J9" s="8"/>
      <c r="K9" s="8"/>
      <c r="L9" s="8"/>
      <c r="M9" s="8"/>
      <c r="N9" s="13"/>
    </row>
    <row r="10" spans="2:14" ht="15" customHeight="1" x14ac:dyDescent="0.25">
      <c r="B10" s="5"/>
      <c r="C10" s="6">
        <v>1</v>
      </c>
      <c r="D10" s="34"/>
      <c r="E10" s="35"/>
      <c r="F10" s="35"/>
      <c r="G10" s="36"/>
      <c r="H10" s="37"/>
      <c r="I10" s="37"/>
      <c r="J10" s="37"/>
      <c r="K10" s="37"/>
      <c r="L10" s="37"/>
      <c r="M10" s="37"/>
      <c r="N10" s="13"/>
    </row>
    <row r="11" spans="2:14" ht="27.75" customHeight="1" x14ac:dyDescent="0.25">
      <c r="B11" s="5"/>
      <c r="C11" s="6">
        <v>1</v>
      </c>
      <c r="D11" s="6"/>
      <c r="E11" s="14"/>
      <c r="F11" s="12"/>
      <c r="G11" s="12"/>
      <c r="H11" s="8"/>
      <c r="I11" s="8"/>
      <c r="J11" s="8"/>
      <c r="K11" s="8"/>
      <c r="L11" s="8"/>
      <c r="M11" s="8"/>
      <c r="N11" s="15"/>
    </row>
    <row r="12" spans="2:14" ht="15" customHeight="1" x14ac:dyDescent="0.25">
      <c r="B12" s="5"/>
      <c r="C12" s="6">
        <v>1</v>
      </c>
      <c r="D12" s="16"/>
      <c r="E12" s="17"/>
      <c r="F12" s="8"/>
      <c r="G12" s="8"/>
      <c r="H12" s="8"/>
      <c r="I12" s="8"/>
      <c r="J12" s="8"/>
      <c r="K12" s="8"/>
      <c r="L12" s="8"/>
      <c r="M12" s="8"/>
      <c r="N12" s="9"/>
    </row>
    <row r="13" spans="2:14" ht="15" customHeight="1" x14ac:dyDescent="0.25">
      <c r="B13" s="5"/>
      <c r="C13" s="6">
        <v>1</v>
      </c>
      <c r="D13" s="16"/>
      <c r="E13" s="8"/>
      <c r="F13" s="8"/>
      <c r="G13" s="8"/>
      <c r="H13" s="8"/>
      <c r="I13" s="8"/>
      <c r="J13" s="8"/>
      <c r="K13" s="8"/>
      <c r="L13" s="8"/>
      <c r="M13" s="8"/>
      <c r="N13" s="9"/>
    </row>
    <row r="14" spans="2:14" ht="21" customHeight="1" x14ac:dyDescent="0.2">
      <c r="B14" s="5"/>
      <c r="C14" s="6">
        <v>1</v>
      </c>
      <c r="D14" s="504" t="s">
        <v>67</v>
      </c>
      <c r="E14" s="495" t="s">
        <v>101</v>
      </c>
      <c r="F14" s="498" t="s">
        <v>46</v>
      </c>
      <c r="G14" s="499"/>
      <c r="H14" s="499"/>
      <c r="I14" s="500"/>
      <c r="J14" s="509" t="s">
        <v>47</v>
      </c>
      <c r="K14" s="499"/>
      <c r="L14" s="499"/>
      <c r="M14" s="500"/>
      <c r="N14" s="13"/>
    </row>
    <row r="15" spans="2:14" ht="21" customHeight="1" x14ac:dyDescent="0.25">
      <c r="B15" s="5"/>
      <c r="C15" s="6"/>
      <c r="D15" s="505"/>
      <c r="E15" s="496"/>
      <c r="F15" s="501" t="str">
        <f>IF(Instructions!U40=1,"(gallons/year)","(liters/year)")</f>
        <v>(gallons/year)</v>
      </c>
      <c r="G15" s="502"/>
      <c r="H15" s="502"/>
      <c r="I15" s="503"/>
      <c r="J15" s="510" t="str">
        <f>IF(Instructions!U40=1,"(gallons/year)","(liters/year)")</f>
        <v>(gallons/year)</v>
      </c>
      <c r="K15" s="502"/>
      <c r="L15" s="502"/>
      <c r="M15" s="503"/>
      <c r="N15" s="13"/>
    </row>
    <row r="16" spans="2:14" s="18" customFormat="1" ht="57" customHeight="1" x14ac:dyDescent="0.25">
      <c r="B16" s="5"/>
      <c r="C16" s="6">
        <v>1</v>
      </c>
      <c r="D16" s="506"/>
      <c r="E16" s="497"/>
      <c r="F16" s="137" t="s">
        <v>100</v>
      </c>
      <c r="G16" s="134" t="s">
        <v>99</v>
      </c>
      <c r="H16" s="134" t="s">
        <v>96</v>
      </c>
      <c r="I16" s="135" t="s">
        <v>95</v>
      </c>
      <c r="J16" s="136" t="s">
        <v>98</v>
      </c>
      <c r="K16" s="134" t="s">
        <v>99</v>
      </c>
      <c r="L16" s="134" t="s">
        <v>97</v>
      </c>
      <c r="M16" s="135" t="s">
        <v>94</v>
      </c>
      <c r="N16" s="13"/>
    </row>
    <row r="17" spans="2:14" s="18" customFormat="1" ht="15.75" customHeight="1" x14ac:dyDescent="0.25">
      <c r="B17" s="5"/>
      <c r="C17" s="6">
        <f t="shared" ref="C17" ca="1" si="0">IF(OR(D17="Introduction",D17="Base Calc",D17="Summary D+C",D17="Summary O+M",D17="",D17=0),0,1)</f>
        <v>1</v>
      </c>
      <c r="D17" s="138" t="str">
        <f ca="1">IFERROR(INDEX(MID(Sheets,FIND("]",Sheets)+1,255),ROW(A3),1),"")</f>
        <v>Group 1</v>
      </c>
      <c r="E17" s="139">
        <v>1</v>
      </c>
      <c r="F17" s="342">
        <f ca="1">INDIRECT("'"&amp;D17&amp;"'!$AA$7")</f>
        <v>219438</v>
      </c>
      <c r="G17" s="343">
        <f ca="1">INDIRECT("'"&amp;$D17&amp;"'!$AA$8")</f>
        <v>975280</v>
      </c>
      <c r="H17" s="344">
        <f t="shared" ref="H17" ca="1" si="1">F17+G17</f>
        <v>1194718</v>
      </c>
      <c r="I17" s="344">
        <f t="shared" ref="I17" ca="1" si="2">H17*E17</f>
        <v>1194718</v>
      </c>
      <c r="J17" s="343">
        <f ca="1">INDIRECT("'"&amp;$D17&amp;"'!$AA$9")</f>
        <v>93261.15</v>
      </c>
      <c r="K17" s="343">
        <f ca="1">INDIRECT("'"&amp;$D17&amp;"'!$AA$10")</f>
        <v>721404.25</v>
      </c>
      <c r="L17" s="344">
        <f t="shared" ref="L17" ca="1" si="3">J17+K17</f>
        <v>814665.4</v>
      </c>
      <c r="M17" s="345">
        <f t="shared" ref="M17" ca="1" si="4">L17*E17</f>
        <v>814665.4</v>
      </c>
      <c r="N17" s="13"/>
    </row>
    <row r="18" spans="2:14" s="18" customFormat="1" ht="13.5" customHeight="1" x14ac:dyDescent="0.25">
      <c r="B18" s="5"/>
      <c r="C18" s="6">
        <v>1</v>
      </c>
      <c r="D18" s="19"/>
      <c r="E18" s="19"/>
      <c r="F18" s="20"/>
      <c r="G18" s="20"/>
      <c r="H18" s="21"/>
      <c r="I18" s="21"/>
      <c r="J18" s="20"/>
      <c r="K18" s="20"/>
      <c r="L18" s="21"/>
      <c r="M18" s="21"/>
      <c r="N18" s="13"/>
    </row>
    <row r="19" spans="2:14" s="18" customFormat="1" ht="21" customHeight="1" x14ac:dyDescent="0.25">
      <c r="B19" s="22" t="s">
        <v>59</v>
      </c>
      <c r="C19" s="6">
        <v>1</v>
      </c>
      <c r="D19" s="492" t="str">
        <f>IF(Instructions!U40=1,"Annual baseline water consumption (gallons/year)","Annual baseline water consumption (liters/year)")</f>
        <v>Annual baseline water consumption (gallons/year)</v>
      </c>
      <c r="E19" s="493"/>
      <c r="F19" s="493"/>
      <c r="G19" s="493"/>
      <c r="H19" s="493"/>
      <c r="I19" s="493"/>
      <c r="J19" s="493"/>
      <c r="K19" s="493"/>
      <c r="L19" s="494"/>
      <c r="M19" s="346">
        <f ca="1">SUM(I17:I18)</f>
        <v>1194718</v>
      </c>
      <c r="N19" s="13"/>
    </row>
    <row r="20" spans="2:14" s="18" customFormat="1" ht="21" customHeight="1" x14ac:dyDescent="0.25">
      <c r="B20" s="5"/>
      <c r="C20" s="6">
        <v>1</v>
      </c>
      <c r="D20" s="492" t="str">
        <f>IF(Instructions!U40=1,"Annual design water consumption (gallons/year)","Annual design water consumption (liters/year)")</f>
        <v>Annual design water consumption (gallons/year)</v>
      </c>
      <c r="E20" s="493"/>
      <c r="F20" s="493"/>
      <c r="G20" s="493"/>
      <c r="H20" s="493"/>
      <c r="I20" s="493"/>
      <c r="J20" s="493"/>
      <c r="K20" s="493"/>
      <c r="L20" s="494"/>
      <c r="M20" s="346">
        <f ca="1">SUM(M17:M18)</f>
        <v>814665.4</v>
      </c>
      <c r="N20" s="13"/>
    </row>
    <row r="21" spans="2:14" s="18" customFormat="1" ht="21" customHeight="1" x14ac:dyDescent="0.25">
      <c r="B21" s="5"/>
      <c r="C21" s="6">
        <v>1</v>
      </c>
      <c r="D21" s="492" t="s">
        <v>103</v>
      </c>
      <c r="E21" s="493"/>
      <c r="F21" s="493"/>
      <c r="G21" s="493"/>
      <c r="H21" s="493"/>
      <c r="I21" s="493"/>
      <c r="J21" s="493"/>
      <c r="K21" s="493"/>
      <c r="L21" s="494"/>
      <c r="M21" s="141">
        <f>((G7*150%)+(G9*120%))</f>
        <v>1.2</v>
      </c>
      <c r="N21" s="13"/>
    </row>
    <row r="22" spans="2:14" s="18" customFormat="1" ht="21" customHeight="1" x14ac:dyDescent="0.25">
      <c r="B22" s="5"/>
      <c r="C22" s="6">
        <v>1</v>
      </c>
      <c r="D22" s="492" t="str">
        <f>IF(Instructions!U40=1,"Water consumption maximum (gallons/year)","Water consumption maximum (liters/year)")</f>
        <v>Water consumption maximum (gallons/year)</v>
      </c>
      <c r="E22" s="493"/>
      <c r="F22" s="493"/>
      <c r="G22" s="493"/>
      <c r="H22" s="493"/>
      <c r="I22" s="493"/>
      <c r="J22" s="493"/>
      <c r="K22" s="493"/>
      <c r="L22" s="494"/>
      <c r="M22" s="346">
        <f ca="1">M19*M21</f>
        <v>1433661.6</v>
      </c>
      <c r="N22" s="13"/>
    </row>
    <row r="23" spans="2:14" s="18" customFormat="1" ht="21" customHeight="1" x14ac:dyDescent="0.25">
      <c r="B23" s="5"/>
      <c r="C23" s="6">
        <v>1</v>
      </c>
      <c r="D23" s="492" t="s">
        <v>72</v>
      </c>
      <c r="E23" s="493"/>
      <c r="F23" s="493"/>
      <c r="G23" s="493"/>
      <c r="H23" s="493"/>
      <c r="I23" s="493"/>
      <c r="J23" s="493"/>
      <c r="K23" s="493"/>
      <c r="L23" s="494"/>
      <c r="M23" s="140">
        <f ca="1">IF(M22=0,0,(M22-M20)/M22)</f>
        <v>0.43180000000000002</v>
      </c>
      <c r="N23" s="13"/>
    </row>
    <row r="24" spans="2:14" s="18" customFormat="1" ht="24.75" customHeight="1" x14ac:dyDescent="0.25">
      <c r="B24" s="23"/>
      <c r="C24" s="24">
        <v>1</v>
      </c>
      <c r="D24" s="25"/>
      <c r="E24" s="25"/>
      <c r="F24" s="24"/>
      <c r="G24" s="26"/>
      <c r="H24" s="24"/>
      <c r="I24" s="24"/>
      <c r="J24" s="26"/>
      <c r="K24" s="24"/>
      <c r="L24" s="24"/>
      <c r="M24" s="24"/>
      <c r="N24" s="27"/>
    </row>
    <row r="25" spans="2:14" s="18" customFormat="1" ht="15" customHeight="1" x14ac:dyDescent="0.2">
      <c r="L25" s="28"/>
      <c r="N25" s="29"/>
    </row>
    <row r="26" spans="2:14" s="18" customFormat="1" ht="15" customHeight="1" x14ac:dyDescent="0.2">
      <c r="E26" s="30"/>
      <c r="F26" s="30"/>
      <c r="G26" s="30"/>
      <c r="L26" s="28"/>
      <c r="N26" s="31"/>
    </row>
    <row r="27" spans="2:14" s="18" customFormat="1" ht="15" customHeight="1" x14ac:dyDescent="0.2">
      <c r="F27" s="32"/>
      <c r="G27" s="32"/>
      <c r="H27" s="33"/>
      <c r="L27" s="28"/>
      <c r="N27" s="32"/>
    </row>
    <row r="28" spans="2:14" s="18" customFormat="1" ht="15" customHeight="1" x14ac:dyDescent="0.25">
      <c r="D28" s="4"/>
      <c r="G28" s="4" t="str">
        <f ca="1">IFERROR(INDEX(MID(Sheets,FIND("]",Sheets)+1,255),ROW(#REF!),1),"")</f>
        <v/>
      </c>
    </row>
    <row r="29" spans="2:14" s="18" customFormat="1" ht="15" customHeight="1" x14ac:dyDescent="0.25">
      <c r="D29" s="4"/>
    </row>
    <row r="30" spans="2:14" s="18" customFormat="1" ht="15" customHeight="1" x14ac:dyDescent="0.25">
      <c r="D30" s="4"/>
    </row>
    <row r="31" spans="2:14" s="18" customFormat="1" ht="15" customHeight="1" x14ac:dyDescent="0.25">
      <c r="D31" s="4"/>
    </row>
    <row r="32" spans="2:14" s="18" customFormat="1" ht="15" customHeight="1" x14ac:dyDescent="0.25">
      <c r="D32" s="4"/>
    </row>
    <row r="33" spans="4:14" s="18" customFormat="1" ht="15" customHeight="1" x14ac:dyDescent="0.25">
      <c r="D33" s="4"/>
    </row>
    <row r="34" spans="4:14" s="18" customFormat="1" ht="15" customHeight="1" x14ac:dyDescent="0.25">
      <c r="D34" s="4"/>
    </row>
    <row r="35" spans="4:14" s="18" customFormat="1" ht="15" customHeight="1" x14ac:dyDescent="0.25">
      <c r="D35" s="4"/>
    </row>
    <row r="36" spans="4:14" s="18" customFormat="1" ht="15" customHeight="1" x14ac:dyDescent="0.25">
      <c r="D36" s="4"/>
    </row>
    <row r="37" spans="4:14" s="18" customFormat="1" ht="15" customHeight="1" x14ac:dyDescent="0.25">
      <c r="D37" s="4"/>
    </row>
    <row r="38" spans="4:14" ht="15" customHeight="1" x14ac:dyDescent="0.25">
      <c r="E38" s="18"/>
      <c r="F38" s="18"/>
      <c r="G38" s="18"/>
      <c r="H38" s="18"/>
      <c r="J38" s="18"/>
      <c r="L38" s="18"/>
      <c r="N38" s="18"/>
    </row>
    <row r="39" spans="4:14" ht="15" customHeight="1" x14ac:dyDescent="0.25">
      <c r="L39" s="18"/>
      <c r="N39" s="18"/>
    </row>
    <row r="40" spans="4:14" ht="15" customHeight="1" x14ac:dyDescent="0.25">
      <c r="L40" s="18"/>
      <c r="N40" s="18"/>
    </row>
  </sheetData>
  <sheetProtection algorithmName="SHA-512" hashValue="UXxEyq5zon6L9poQZDqucCd/A4JFUerAGnCvTecik7SYs/324NurEG2CHeU9vmDBKOuwIHlfLOKf/4qkPd5kcQ==" saltValue="GgVf6qUUmgofq0tX1A0OVA==" spinCount="100000" sheet="1" objects="1" scenarios="1"/>
  <mergeCells count="12">
    <mergeCell ref="H7:M7"/>
    <mergeCell ref="D23:L23"/>
    <mergeCell ref="D14:D16"/>
    <mergeCell ref="E14:E16"/>
    <mergeCell ref="F14:I14"/>
    <mergeCell ref="J14:M14"/>
    <mergeCell ref="F15:I15"/>
    <mergeCell ref="J15:M15"/>
    <mergeCell ref="D19:L19"/>
    <mergeCell ref="D20:L20"/>
    <mergeCell ref="D21:L21"/>
    <mergeCell ref="D22:L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freshSummary">
                <anchor moveWithCells="1" sizeWithCells="1">
                  <from>
                    <xdr:col>3</xdr:col>
                    <xdr:colOff>47625</xdr:colOff>
                    <xdr:row>10</xdr:row>
                    <xdr:rowOff>247650</xdr:rowOff>
                  </from>
                  <to>
                    <xdr:col>3</xdr:col>
                    <xdr:colOff>1876425</xdr:colOff>
                    <xdr:row>11</xdr:row>
                    <xdr:rowOff>161925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Instructions</vt:lpstr>
      <vt:lpstr>Base Calc</vt:lpstr>
      <vt:lpstr>Group 1</vt:lpstr>
      <vt:lpstr>Summary D+C</vt:lpstr>
      <vt:lpstr>Summary O+M</vt:lpstr>
      <vt:lpstr>_1</vt:lpstr>
      <vt:lpstr>_2</vt:lpstr>
      <vt:lpstr>_3</vt:lpstr>
      <vt:lpstr>Default</vt:lpstr>
      <vt:lpstr>'Group 1'!FLOWREF</vt:lpstr>
      <vt:lpstr>FLOWREF</vt:lpstr>
      <vt:lpstr>'Group 1'!FLUSHREF</vt:lpstr>
      <vt:lpstr>FLUSHREF</vt:lpstr>
      <vt:lpstr>Nondefault</vt:lpstr>
    </vt:vector>
  </TitlesOfParts>
  <Company>US Green Building Council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Muhammad Imran</cp:lastModifiedBy>
  <dcterms:created xsi:type="dcterms:W3CDTF">2012-09-07T14:06:36Z</dcterms:created>
  <dcterms:modified xsi:type="dcterms:W3CDTF">2017-04-03T22:01:32Z</dcterms:modified>
</cp:coreProperties>
</file>